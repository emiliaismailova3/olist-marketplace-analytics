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16380" windowHeight="8196" tabRatio="973"/>
  </bookViews>
  <sheets>
    <sheet name="Dashboard" sheetId="1" r:id="rId1"/>
    <sheet name="Data_Quality" sheetId="2" r:id="rId2"/>
    <sheet name="KPI_Trends" sheetId="3" r:id="rId3"/>
    <sheet name="Regional_Performance" sheetId="4" r:id="rId4"/>
    <sheet name="RFM_Analysis" sheetId="6" r:id="rId5"/>
    <sheet name="Category_Performance" sheetId="8" r:id="rId6"/>
    <sheet name="Delivery_Analysis" sheetId="12" r:id="rId7"/>
  </sheets>
  <externalReferences>
    <externalReference r:id="rId8"/>
  </externalReferences>
  <calcPr calcId="144525" iterateDelta="1E-4"/>
</workbook>
</file>

<file path=xl/calcChain.xml><?xml version="1.0" encoding="utf-8"?>
<calcChain xmlns="http://schemas.openxmlformats.org/spreadsheetml/2006/main">
  <c r="AB7" i="1" l="1"/>
  <c r="W7" i="1"/>
</calcChain>
</file>

<file path=xl/sharedStrings.xml><?xml version="1.0" encoding="utf-8"?>
<sst xmlns="http://schemas.openxmlformats.org/spreadsheetml/2006/main" count="534" uniqueCount="359">
  <si>
    <t>OLIST E-COMMERCE ANALYTICS - EXECUTIVE DASHBOARD</t>
  </si>
  <si>
    <t>Month</t>
  </si>
  <si>
    <t>Orders</t>
  </si>
  <si>
    <t>Revenue (R$)</t>
  </si>
  <si>
    <t>MoM Growth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</si>
  <si>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</si>
  <si>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</si>
  <si>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</si>
  <si>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</si>
  <si>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</si>
  <si>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</si>
  <si>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</si>
  <si>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</si>
  <si>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</si>
  <si>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</si>
  <si>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</si>
  <si>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</si>
  <si>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</si>
  <si>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</si>
  <si>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</si>
  <si>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</si>
  <si>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</si>
  <si>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</si>
  <si>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</si>
  <si>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</si>
  <si>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</si>
  <si>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</si>
  <si>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</si>
  <si>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TOP 8 CATEGORIES BY REVENUE</t>
  </si>
  <si>
    <t>Category</t>
  </si>
  <si>
    <t>Share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</si>
  <si>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</si>
  <si>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</si>
  <si>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</si>
  <si>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</si>
  <si>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</si>
  <si>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</si>
  <si>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</si>
  <si>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</si>
  <si>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Segment</t>
  </si>
  <si>
    <t>Customers</t>
  </si>
  <si>
    <t>Avg Spend (R$)</t>
  </si>
  <si>
    <t>Champions</t>
  </si>
  <si>
    <t>Loyal</t>
  </si>
  <si>
    <t>At Risk</t>
  </si>
  <si>
    <t>Lost</t>
  </si>
  <si>
    <t>Promising</t>
  </si>
  <si>
    <t>DATA QUALITY VALIDATION</t>
  </si>
  <si>
    <t>TABLE ROW COUNTS</t>
  </si>
  <si>
    <t>Table</t>
  </si>
  <si>
    <t>Rows</t>
  </si>
  <si>
    <t>orders</t>
  </si>
  <si>
    <t>order_items</t>
  </si>
  <si>
    <t>order_payments</t>
  </si>
  <si>
    <t>order_reviews</t>
  </si>
  <si>
    <t>customers</t>
  </si>
  <si>
    <t>sellers</t>
  </si>
  <si>
    <t>products</t>
  </si>
  <si>
    <t>category_translation</t>
  </si>
  <si>
    <t>QUALITY CHECKS SUMMARY</t>
  </si>
  <si>
    <t>Check</t>
  </si>
  <si>
    <t>Result</t>
  </si>
  <si>
    <t>Duplicate orders</t>
  </si>
  <si>
    <t>PASS</t>
  </si>
  <si>
    <t>Orphan order items</t>
  </si>
  <si>
    <t>Zero-price items</t>
  </si>
  <si>
    <t>EXECUTIVE KPI &amp; TIME TRENDS</t>
  </si>
  <si>
    <t>Monthly / Quarterly revenue trend, weekday &amp; hourly order patterns</t>
  </si>
  <si>
    <t>QUARTERLY PERFORMANCE</t>
  </si>
  <si>
    <t>Year</t>
  </si>
  <si>
    <t>Quarter</t>
  </si>
  <si>
    <t>AOV (R$)</t>
  </si>
  <si>
    <t>2016</t>
  </si>
  <si>
    <t>Q3</t>
  </si>
  <si>
    <t>Q4</t>
  </si>
  <si>
    <t>2017</t>
  </si>
  <si>
    <t>Q1</t>
  </si>
  <si>
    <t>Q2</t>
  </si>
  <si>
    <t>2018</t>
  </si>
  <si>
    <t>ORDERS BY DAY OF WEEK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</si>
  <si>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</si>
  <si>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</si>
  <si>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</si>
  <si>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</si>
  <si>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</si>
  <si>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</si>
  <si>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</si>
  <si>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</si>
  <si>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ORDERS BY HOUR OF DAY</t>
  </si>
  <si>
    <t>Hour</t>
  </si>
  <si>
    <t>REGIONAL PERFORMANCE BY STATE</t>
  </si>
  <si>
    <t>Revenue and order distribution across Brazilian states</t>
  </si>
  <si>
    <t>REVENUE BY STATE (delivered orders)</t>
  </si>
  <si>
    <t>State</t>
  </si>
  <si>
    <t>Revenue Share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</si>
  <si>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</si>
  <si>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</si>
  <si>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</si>
  <si>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</si>
  <si>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</si>
  <si>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</si>
  <si>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</si>
  <si>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</si>
  <si>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</si>
  <si>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</si>
  <si>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</si>
  <si>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</si>
  <si>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</si>
  <si>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</si>
  <si>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</si>
  <si>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</si>
  <si>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</si>
  <si>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</si>
  <si>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</si>
  <si>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</si>
  <si>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</si>
  <si>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</si>
  <si>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</si>
  <si>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</si>
  <si>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</si>
  <si>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</si>
  <si>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</si>
  <si>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RFM CUSTOMER SEGMENTATION</t>
  </si>
  <si>
    <t>Recency / Frequency / Monetary scoring — segments and top customers</t>
  </si>
  <si>
    <t>RFM SEGMENT SUMMARY</t>
  </si>
  <si>
    <t>Total Revenue (R$)</t>
  </si>
  <si>
    <t>TOP 100 CUSTOMERS BY RFM SCORE</t>
  </si>
  <si>
    <t>Customer ID</t>
  </si>
  <si>
    <t>Recency (days)</t>
  </si>
  <si>
    <t>Frequency</t>
  </si>
  <si>
    <t>Monetary (R$)</t>
  </si>
  <si>
    <t>R</t>
  </si>
  <si>
    <t>F</t>
  </si>
  <si>
    <t>M</t>
  </si>
  <si>
    <t>RFM Total</t>
  </si>
  <si>
    <t>0c6d7218d5f3fa14514fd29865269993</t>
  </si>
  <si>
    <t>afbcfd0b9c5233e7ccc73428526fbb52</t>
  </si>
  <si>
    <t>5c58de6fb80e93396e2f35642666b693</t>
  </si>
  <si>
    <t>6d338ce1c12a81b0273d0f82bd0a2482</t>
  </si>
  <si>
    <t>a712a430955027da5bc257a10073a390</t>
  </si>
  <si>
    <t>e58697e3a253c253e1582f8c4f4c54ff</t>
  </si>
  <si>
    <t>23e6a9d387ba03e2099233222d7635cf</t>
  </si>
  <si>
    <t>26282ebe59148b5c5d3f7b58c0bb7d56</t>
  </si>
  <si>
    <t>2cbb27285e259123d5b9aac321b7085e</t>
  </si>
  <si>
    <t>44d111bdc55faca551ef91cb74a444d8</t>
  </si>
  <si>
    <t>55cfdb1ec3c5bf60d9ccc0d5f276f8a9</t>
  </si>
  <si>
    <t>83176537f63ef9c7510572006c85ac50</t>
  </si>
  <si>
    <t>fb7e29c65321441231990afc201c1b14</t>
  </si>
  <si>
    <t>34b0cd95480e55c2a701293a2b9671b3</t>
  </si>
  <si>
    <t>b7ad4199bc59eb9de334c49fc5b4ddd6</t>
  </si>
  <si>
    <t>9906fc374d7fd8d7a8574dd27b1c0c0a</t>
  </si>
  <si>
    <t>927166030972d4c8138c8d561b6cc03c</t>
  </si>
  <si>
    <t>ea68118dafa903c52bbe82fc947e5c1f</t>
  </si>
  <si>
    <t>90f59279be46c00e09bd5e490b936a57</t>
  </si>
  <si>
    <t>01b3e064c4fc4372a269bdc02c131850</t>
  </si>
  <si>
    <t>7d24858140d18c5236eecd0e2afef4de</t>
  </si>
  <si>
    <t>d4ed8c361e25c9de427a6360bdcb1633</t>
  </si>
  <si>
    <t>4dff4725813168461eb3e5e9f807d66a</t>
  </si>
  <si>
    <t>41d57ab847e5ccbe403f46b07ee577d6</t>
  </si>
  <si>
    <t>d44f553a3663a6323c901cf1f0a47c87</t>
  </si>
  <si>
    <t>7e3b6916cdc9629811177f17f7ab07ce</t>
  </si>
  <si>
    <t>6c3e7b7832bfb886d40fe39060eb8603</t>
  </si>
  <si>
    <t>90b255a154139ff1daf8d60818416113</t>
  </si>
  <si>
    <t>08de4d9507128e2ad419e26cc4f22b65</t>
  </si>
  <si>
    <t>70274c85eb170f583f0ae42e19494c6b</t>
  </si>
  <si>
    <t>c6622f52e7e4dc8671ad890b974f9c74</t>
  </si>
  <si>
    <t>a71cac9f356cfeb9db35061020806212</t>
  </si>
  <si>
    <t>a2ab90703044c6d7f4725d7b4d655693</t>
  </si>
  <si>
    <t>9858c785781f08bd45191d685e5034f3</t>
  </si>
  <si>
    <t>8db23ea8429b2011a538fcbeca947904</t>
  </si>
  <si>
    <t>0d974402f3086c8b57ab8d9f38eec4e0</t>
  </si>
  <si>
    <t>8c446b198f0c92d5db58d3c8eacd3a11</t>
  </si>
  <si>
    <t>efef54930930d81b95bab9d149b602a0</t>
  </si>
  <si>
    <t>dc539d99d32ab632d7762838ed9518a3</t>
  </si>
  <si>
    <t>3443e2eebf6b2795c6bac47c21c62f0d</t>
  </si>
  <si>
    <t>dee18b46b57c871840488ddcc81f1ce4</t>
  </si>
  <si>
    <t>52b8fc428690f8974a3d3ff3a162f7b7</t>
  </si>
  <si>
    <t>4d7b6c39aa3c7b53acb8058e4094a593</t>
  </si>
  <si>
    <t>b7a3d98c05bfa1b94ccdad4c1736b8eb</t>
  </si>
  <si>
    <t>72af58d63ff7b96ab0f296e553841def</t>
  </si>
  <si>
    <t>981146523d8e000b77f1b136643bb776</t>
  </si>
  <si>
    <t>1c12fb820ab4fda07eb3d72f03c5ac3b</t>
  </si>
  <si>
    <t>3ff9132b9f4a7e46118e5347c765f77b</t>
  </si>
  <si>
    <t>eb2f753482ad0fe9d19138e4eb07985a</t>
  </si>
  <si>
    <t>d7dbe68588e2b9cdb13ba5eeee3153c2</t>
  </si>
  <si>
    <t>edb64356e3fe3a3c3f807d790469b94d</t>
  </si>
  <si>
    <t>773427e58e9396f234a16271a8fa4947</t>
  </si>
  <si>
    <t>98f04fe48471de2a411edc708bcd52a1</t>
  </si>
  <si>
    <t>55bd4776f1b2e6854ee14ef35adf286d</t>
  </si>
  <si>
    <t>aa054b070684f5298f6fcde3a4513b31</t>
  </si>
  <si>
    <t>b31e69e978d97f380d52102ac379fd7e</t>
  </si>
  <si>
    <t>101375bf617fd60c9eee42f98d9a73d6</t>
  </si>
  <si>
    <t>e6fad5b1c79a4760aac5068d09c46535</t>
  </si>
  <si>
    <t>683459cab0129375a071efb00da7c191</t>
  </si>
  <si>
    <t>898a3ab803ea2aea5757bf334f8d559d</t>
  </si>
  <si>
    <t>08a96b9b64a5af2b5918c4012c0d92d6</t>
  </si>
  <si>
    <t>8676422a5c30ff97f055b28adadbb506</t>
  </si>
  <si>
    <t>1356c7cceef6a2fb0c137a4ba41f9142</t>
  </si>
  <si>
    <t>001928b561575b2821c92254a2327d06</t>
  </si>
  <si>
    <t>5713bd94b489fc23241f2b27946a8990</t>
  </si>
  <si>
    <t>8b8604f905b9307d94447449b3d55e4f</t>
  </si>
  <si>
    <t>bac9812cea1445d4a6fb6259a117932f</t>
  </si>
  <si>
    <t>4d386f0c8f4ca6760283647577ac8c6a</t>
  </si>
  <si>
    <t>fdd98b4d0b20086f63da8dfa21c2a9fe</t>
  </si>
  <si>
    <t>61b4260aa3892f7f714ba862cd42fd0e</t>
  </si>
  <si>
    <t>8dc697d03f771cecc2534534a73eaaf9</t>
  </si>
  <si>
    <t>57599e9341e1ce4306e39daa2af248b2</t>
  </si>
  <si>
    <t>1f3f63978e635987c3063bd1005037f9</t>
  </si>
  <si>
    <t>64510e766d989ff92d22b0b2c2c04884</t>
  </si>
  <si>
    <t>6acd491e5e771e8ce1287196704579c1</t>
  </si>
  <si>
    <t>a9bf88ae7e6a141ebeb3369b4914d488</t>
  </si>
  <si>
    <t>903d4d509bd94965e57d07a5f78de590</t>
  </si>
  <si>
    <t>3acd02ebfa5992ca408cbc3da8718093</t>
  </si>
  <si>
    <t>eba19814c469ba66dd384612aa663060</t>
  </si>
  <si>
    <t>47c1737f10465e1d00d0c02ea916c74a</t>
  </si>
  <si>
    <t>f0347c282b3654c9a42bc10bbde1912e</t>
  </si>
  <si>
    <t>d8f3c4f441a9b59a29f977df16724f38</t>
  </si>
  <si>
    <t>a53c5bbb7be8b7a0f586d31c2bc499ef</t>
  </si>
  <si>
    <t>d04921557f1cde4963c30a11dfb1719d</t>
  </si>
  <si>
    <t>a3c97f5ae93cf5d15567bd56f9fc8dd5</t>
  </si>
  <si>
    <t>7d4f2092516e2d6d87f82491164a3609</t>
  </si>
  <si>
    <t>2d4912f3cb306836f73b919baad094ed</t>
  </si>
  <si>
    <t>6f24c77a36d67a196068ae95cdd4e044</t>
  </si>
  <si>
    <t>f76b64c64d5c95d10ec203542b2f827c</t>
  </si>
  <si>
    <t>60ef1068bcbffaed11615482aeb7c8bf</t>
  </si>
  <si>
    <t>5bf6014626aaa36cdb6f1d0d955ded28</t>
  </si>
  <si>
    <t>cd13689db46ae3b167ccb071ebbc0e86</t>
  </si>
  <si>
    <t>b9186cea0c4fc102347b239240c75f6e</t>
  </si>
  <si>
    <t>c5cd8249a8a891697b1b8b1a73f344e6</t>
  </si>
  <si>
    <t>26815669ed805930225a3829246c1983</t>
  </si>
  <si>
    <t>67c069b1347ff0bfea48b5035a0153da</t>
  </si>
  <si>
    <t>4d3d7eafae2022b086733db28814cad3</t>
  </si>
  <si>
    <t>adbf5238a6bfd691119b986323f042ca</t>
  </si>
  <si>
    <t>9ed4f2771274a984af927b83258e68fe</t>
  </si>
  <si>
    <t>4964b30e0f0fd6fe49698ee0f5f4fb03</t>
  </si>
  <si>
    <t>Rank</t>
  </si>
  <si>
    <t>PRODUCT CATEGORY PERFORMANCE</t>
  </si>
  <si>
    <t>Full ranked category revenue breakdown (delivered orders)</t>
  </si>
  <si>
    <t>CATEGORY SALES &amp; RANKING</t>
  </si>
  <si>
    <t>Items Sold</t>
  </si>
  <si>
    <t>Freight (R$)</t>
  </si>
  <si>
    <t>auto</t>
  </si>
  <si>
    <t>toys</t>
  </si>
  <si>
    <t>garden_tools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</si>
  <si>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</si>
  <si>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</si>
  <si>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</si>
  <si>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</si>
  <si>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</si>
  <si>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</si>
  <si>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</si>
  <si>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</si>
  <si>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</si>
  <si>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</si>
  <si>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</si>
  <si>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</si>
  <si>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</si>
  <si>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</si>
  <si>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</si>
  <si>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</si>
  <si>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</si>
  <si>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</si>
  <si>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</si>
  <si>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</si>
  <si>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home_confort</t>
  </si>
  <si>
    <t>fixed_telephony</t>
  </si>
  <si>
    <t>air_conditioning</t>
  </si>
  <si>
    <t>audio</t>
  </si>
  <si>
    <t>small_appliances_home_oven_and_coffee</t>
  </si>
  <si>
    <t>kitchen_dining_laundry_garden_furniture</t>
  </si>
  <si>
    <t>books_general_interest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</si>
  <si>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</si>
  <si>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</si>
  <si>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</si>
  <si>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</si>
  <si>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</si>
  <si>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</si>
  <si>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</si>
  <si>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</si>
  <si>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</si>
  <si>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</si>
  <si>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</si>
  <si>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</si>
  <si>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</si>
  <si>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</si>
  <si>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</si>
  <si>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</si>
  <si>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</si>
  <si>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</si>
  <si>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</si>
  <si>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</si>
  <si>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</si>
  <si>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party_supplies</t>
  </si>
  <si>
    <t>books_imported</t>
  </si>
  <si>
    <t>furniture_mattress_and_upholstery</t>
  </si>
  <si>
    <t>portateis_cozinha_e_preparadores_de_alimentos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</si>
  <si>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</si>
  <si>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</si>
  <si>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</si>
  <si>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</si>
  <si>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</si>
  <si>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</si>
  <si>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</si>
  <si>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</si>
  <si>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</si>
  <si>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</si>
  <si>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</si>
  <si>
    <t>Avg Review</t>
  </si>
  <si>
    <t>DELIVERY PERFORMANCE &amp; LOGISTICS</t>
  </si>
  <si>
    <t>Delivery time, on-time rate, state comparison, review impact</t>
  </si>
  <si>
    <t>OVERALL DELIVERY STATS</t>
  </si>
  <si>
    <t>Delivered Orders</t>
  </si>
  <si>
    <t>Avg Days</t>
  </si>
  <si>
    <t>Min Days</t>
  </si>
  <si>
    <t>Max Days</t>
  </si>
  <si>
    <t>avg_estimated_days</t>
  </si>
  <si>
    <t>ON-TIME vs LATE DELIVERIES</t>
  </si>
  <si>
    <t>Status</t>
  </si>
  <si>
    <t>% of Orders</t>
  </si>
  <si>
    <t>Late</t>
  </si>
  <si>
    <t>On Time</t>
  </si>
  <si>
    <t>DELIVERY PERFORMANCE BY STATE</t>
  </si>
  <si>
    <t>Late Orders</t>
  </si>
  <si>
    <t>Late Rate</t>
  </si>
  <si>
    <t>DELIVERY TIME DISTRIBUTION (BUCKETS)</t>
  </si>
  <si>
    <t>Delivery Time</t>
  </si>
  <si>
    <t>01: 1-3 days</t>
  </si>
  <si>
    <t>02: 4-7 days</t>
  </si>
  <si>
    <t>03: 8-14 days</t>
  </si>
  <si>
    <t>04: 15-21 days</t>
  </si>
  <si>
    <t>05: 22-30 days</t>
  </si>
  <si>
    <t>06: 30+ days</t>
  </si>
  <si>
    <t>DELIVERY SPEED IMPACT ON REVIEW SCORE</t>
  </si>
  <si>
    <t>Delivery Speed</t>
  </si>
  <si>
    <t>01: Fast (&lt;=7 days)</t>
  </si>
  <si>
    <t>02: Normal (8-14 days)</t>
  </si>
  <si>
    <t>03: Slow (15-21 days)</t>
  </si>
  <si>
    <t>04: Very Slow (21+ days)</t>
  </si>
  <si>
    <t>SELLER-TO-CARRIER HANDOFF TIME</t>
  </si>
  <si>
    <t>Avg Approval (days)</t>
  </si>
  <si>
    <t>Avg Dispatch (days)</t>
  </si>
  <si>
    <t>Avg Carrier Delivery (days)</t>
  </si>
  <si>
    <t>Customers %</t>
  </si>
  <si>
    <t>Столбец1</t>
  </si>
  <si>
    <t>REPEAT PURCHASE RATE</t>
  </si>
  <si>
    <t>AVG REVIEW SCORE</t>
  </si>
  <si>
    <t>AVG ORDER VALUE (R$)</t>
  </si>
  <si>
    <t>TOTAL CUSTOMERS</t>
  </si>
  <si>
    <t>TOTAL ORDERS</t>
  </si>
  <si>
    <t>TOTAL REVENUE (R$)</t>
  </si>
  <si>
    <t>DELIVERY PERFORMANCE</t>
  </si>
  <si>
    <t>ON-TIME DELIVERY RATE</t>
  </si>
  <si>
    <t>AVG DELIVERY TIME (DAYS)</t>
  </si>
  <si>
    <t>SALES TREND  —  Monthly Revenue (R$)</t>
  </si>
  <si>
    <t>13,59M</t>
  </si>
  <si>
    <t>99,4K</t>
  </si>
  <si>
    <t>93,3K</t>
  </si>
  <si>
    <t>Столбец2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</si>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</sst>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\%"/>
    <numFmt numFmtId="166" formatCode="0.0&quot; days&quot;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548235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family val="2"/>
      <charset val="204"/>
    </font>
    <font>
      <b/>
      <sz val="14"/>
      <color theme="3" tint="-0.499984740745262"/>
      <name val="Arial"/>
      <family val="2"/>
      <charset val="204"/>
    </font>
    <font>
      <sz val="14"/>
      <color theme="1"/>
      <name val="Calibri"/>
      <family val="2"/>
      <charset val="1"/>
    </font>
    <font>
      <b/>
      <sz val="28"/>
      <color rgb="FFFFFFFF"/>
      <name val="Arial"/>
      <family val="2"/>
      <charset val="204"/>
    </font>
    <font>
      <b/>
      <sz val="16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8"/>
      <color rgb="FFFFFFFF"/>
      <name val="Arial"/>
      <family val="2"/>
      <charset val="204"/>
    </font>
    <font>
      <b/>
      <sz val="36"/>
      <color rgb="FFFFFFFF"/>
      <name val="Arial"/>
      <family val="2"/>
      <charset val="204"/>
    </font>
    <font>
      <b/>
      <sz val="36"/>
      <color theme="0" tint="-4.9989318521683403E-2"/>
      <name val="Arial"/>
      <family val="2"/>
      <charset val="204"/>
    </font>
    <font>
      <b/>
      <sz val="9"/>
      <color rgb="FFFFFFFF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548235"/>
        <bgColor rgb="FF7F7F7F"/>
      </patternFill>
    </fill>
    <fill>
      <patternFill patternType="solid">
        <fgColor rgb="FFF2F2F2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C55A11"/>
        <bgColor rgb="FFC0504D"/>
      </patternFill>
    </fill>
    <fill>
      <patternFill patternType="solid">
        <fgColor rgb="FF953734"/>
        <bgColor rgb="FFAB4744"/>
      </patternFill>
    </fill>
    <fill>
      <patternFill patternType="solid">
        <fgColor rgb="FFBF8F00"/>
        <bgColor rgb="FFDC853E"/>
      </patternFill>
    </fill>
    <fill>
      <patternFill patternType="solid">
        <fgColor rgb="FFC9A66B"/>
        <bgColor rgb="FFB3B3B3"/>
      </patternFill>
    </fill>
    <fill>
      <patternFill patternType="solid">
        <fgColor rgb="FF1F3864"/>
        <bgColor rgb="FF1F2A44"/>
      </patternFill>
    </fill>
    <fill>
      <patternFill patternType="solid">
        <fgColor theme="0"/>
        <bgColor rgb="FF2E539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38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4" fontId="6" fillId="0" borderId="3" xfId="0" applyNumberFormat="1" applyFont="1" applyBorder="1" applyAlignment="1">
      <alignment horizontal="center" vertical="center"/>
    </xf>
    <xf numFmtId="4" fontId="6" fillId="5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11" fillId="0" borderId="0" xfId="0" applyFont="1"/>
    <xf numFmtId="0" fontId="0" fillId="0" borderId="0" xfId="0" applyAlignment="1" applyProtection="1"/>
    <xf numFmtId="0" fontId="0" fillId="0" borderId="0" xfId="0"/>
    <xf numFmtId="0" fontId="12" fillId="2" borderId="0" xfId="0" applyFont="1" applyFill="1" applyBorder="1" applyAlignment="1">
      <alignment horizontal="center" vertical="center"/>
    </xf>
    <xf numFmtId="3" fontId="17" fillId="11" borderId="0" xfId="0" applyNumberFormat="1" applyFont="1" applyFill="1" applyBorder="1" applyAlignment="1" applyProtection="1">
      <alignment horizontal="center" vertical="center"/>
    </xf>
    <xf numFmtId="3" fontId="17" fillId="3" borderId="0" xfId="0" applyNumberFormat="1" applyFont="1" applyFill="1" applyBorder="1" applyAlignment="1" applyProtection="1">
      <alignment horizontal="center" vertical="center"/>
    </xf>
    <xf numFmtId="0" fontId="16" fillId="11" borderId="0" xfId="0" applyFont="1" applyFill="1" applyBorder="1" applyAlignment="1" applyProtection="1">
      <alignment horizontal="center" vertical="center"/>
    </xf>
    <xf numFmtId="0" fontId="16" fillId="3" borderId="0" xfId="0" applyFont="1" applyFill="1" applyBorder="1" applyAlignment="1" applyProtection="1">
      <alignment horizontal="center" vertical="center"/>
    </xf>
    <xf numFmtId="4" fontId="17" fillId="3" borderId="0" xfId="0" applyNumberFormat="1" applyFont="1" applyFill="1" applyBorder="1" applyAlignment="1" applyProtection="1">
      <alignment horizontal="center" vertical="center"/>
    </xf>
    <xf numFmtId="2" fontId="17" fillId="11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6" fillId="10" borderId="0" xfId="0" applyFont="1" applyFill="1" applyBorder="1" applyAlignment="1" applyProtection="1">
      <alignment horizontal="center" vertical="center"/>
    </xf>
    <xf numFmtId="164" fontId="18" fillId="10" borderId="0" xfId="0" applyNumberFormat="1" applyFont="1" applyFill="1" applyBorder="1" applyAlignment="1" applyProtection="1">
      <alignment horizontal="center" vertical="center"/>
    </xf>
    <xf numFmtId="166" fontId="12" fillId="11" borderId="0" xfId="0" applyNumberFormat="1" applyFont="1" applyFill="1" applyBorder="1" applyAlignment="1" applyProtection="1">
      <alignment horizontal="center" vertical="center"/>
    </xf>
    <xf numFmtId="165" fontId="17" fillId="3" borderId="0" xfId="0" applyNumberFormat="1" applyFont="1" applyFill="1" applyBorder="1" applyAlignment="1" applyProtection="1">
      <alignment horizontal="center" vertical="center"/>
    </xf>
    <xf numFmtId="0" fontId="13" fillId="11" borderId="0" xfId="0" applyFont="1" applyFill="1" applyBorder="1" applyAlignment="1" applyProtection="1">
      <alignment horizontal="center" vertical="center"/>
    </xf>
    <xf numFmtId="0" fontId="15" fillId="3" borderId="0" xfId="0" applyFont="1" applyFill="1" applyBorder="1" applyAlignment="1" applyProtection="1">
      <alignment horizontal="center" vertical="center"/>
    </xf>
    <xf numFmtId="0" fontId="14" fillId="11" borderId="0" xfId="0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164" fontId="4" fillId="12" borderId="0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/>
    </xf>
    <xf numFmtId="0" fontId="0" fillId="13" borderId="0" xfId="0" applyFill="1"/>
    <xf numFmtId="0" fontId="1" fillId="2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vertical="center"/>
    </xf>
    <xf numFmtId="3" fontId="0" fillId="0" borderId="0" xfId="0" applyNumberFormat="1"/>
  </cellXfs>
  <cellStyles count="1">
    <cellStyle name="Обычный" xfId="0" builtinId="0"/>
  </cellStyles>
  <dxfs count="9">
    <dxf>
      <fill>
        <patternFill>
          <bgColor rgb="FFF8CBAD"/>
        </patternFill>
      </fill>
    </dxf>
    <dxf>
      <fill>
        <patternFill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2E539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C0504D"/>
      <rgbColor rgb="FF4F81BD"/>
      <rgbColor rgb="FFBFBFBF"/>
      <rgbColor rgb="FF7F7F7F"/>
      <rgbColor rgb="FF93A9CE"/>
      <rgbColor rgb="FF953734"/>
      <rgbColor rgb="FFF2F2F2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7D5FA0"/>
      <rgbColor rgb="FF800000"/>
      <rgbColor rgb="FF008080"/>
      <rgbColor rgb="FF0000FF"/>
      <rgbColor rgb="FF46AAC4"/>
      <rgbColor rgb="FFCCFFFF"/>
      <rgbColor rgb="FFE2EFDA"/>
      <rgbColor rgb="FFFFFF99"/>
      <rgbColor rgb="FF9BBB59"/>
      <rgbColor rgb="FFD09493"/>
      <rgbColor rgb="FF8064A2"/>
      <rgbColor rgb="FFF8CBAD"/>
      <rgbColor rgb="FF4A7EBB"/>
      <rgbColor rgb="FF4BACC6"/>
      <rgbColor rgb="FF98B855"/>
      <rgbColor rgb="FF8AA64F"/>
      <rgbColor rgb="FFBF8F00"/>
      <rgbColor rgb="FFC55A11"/>
      <rgbColor rgb="FF725990"/>
      <rgbColor rgb="FF878787"/>
      <rgbColor rgb="FF1F3864"/>
      <rgbColor rgb="FF4299B0"/>
      <rgbColor rgb="FF003300"/>
      <rgbColor rgb="FF333300"/>
      <rgbColor rgb="FFBE4B48"/>
      <rgbColor rgb="FFAB4744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E46C"/>
      <color rgb="FFF4D310"/>
      <color rgb="FFFBD309"/>
      <color rgb="FFF7D60D"/>
      <color rgb="FF0D3EF3"/>
      <color rgb="FF3074FC"/>
      <color rgb="FFD1D92B"/>
      <color rgb="FFF7DF4F"/>
      <color rgb="FFD2E7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308050491446857"/>
          <c:y val="7.4556469914944842E-2"/>
          <c:w val="0.82910687155093343"/>
          <c:h val="0.68946043076848129"/>
        </c:manualLayout>
      </c:layout>
      <c:lineChart>
        <c:grouping val="standard"/>
        <c:varyColors val="0"/>
        <c:ser>
          <c:idx val="0"/>
          <c:order val="0"/>
          <c:tx>
            <c:strRef>
              <c:f>Data_Quality!$G$4</c:f>
              <c:strCache>
                <c:ptCount val="1"/>
                <c:pt idx="0">
                  <c:v>Revenue (R$)</c:v>
                </c:pt>
              </c:strCache>
            </c:strRef>
          </c:tx>
          <c:spPr>
            <a:ln w="57150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Data_Quality!$E$5:$E$27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Data_Quality!$G$5:$G$27</c:f>
              <c:numCache>
                <c:formatCode>#,##0</c:formatCode>
                <c:ptCount val="23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37865984"/>
        <c:axId val="147692288"/>
      </c:lineChart>
      <c:catAx>
        <c:axId val="23786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200" b="1" strike="noStrike" spc="-1">
                <a:solidFill>
                  <a:srgbClr val="002060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47692288"/>
        <c:crosses val="autoZero"/>
        <c:auto val="1"/>
        <c:lblAlgn val="ctr"/>
        <c:lblOffset val="100"/>
        <c:noMultiLvlLbl val="0"/>
      </c:catAx>
      <c:valAx>
        <c:axId val="147692288"/>
        <c:scaling>
          <c:orientation val="minMax"/>
          <c:max val="16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002060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237865984"/>
        <c:crosses val="autoZero"/>
        <c:crossBetween val="between"/>
        <c:majorUnit val="4000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800" b="1" strike="noStrike" spc="-1">
                <a:solidFill>
                  <a:schemeClr val="bg1"/>
                </a:solidFill>
                <a:latin typeface="Calibri"/>
              </a:defRPr>
            </a:pPr>
            <a:r>
              <a:rPr lang="en-US" sz="2800" b="1" strike="noStrike" spc="-1">
                <a:solidFill>
                  <a:schemeClr val="bg1"/>
                </a:solidFill>
                <a:latin typeface="Calibri"/>
              </a:rPr>
              <a:t>Top 10 States by Revenue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Regional_Performance!$D$5</c:f>
              <c:strCache>
                <c:ptCount val="1"/>
                <c:pt idx="0">
                  <c:v>Revenue (R$)</c:v>
                </c:pt>
              </c:strCache>
            </c:strRef>
          </c:tx>
          <c:spPr>
            <a:gradFill flip="none" rotWithShape="1">
              <a:gsLst>
                <a:gs pos="0">
                  <a:srgbClr val="F7D60D">
                    <a:shade val="30000"/>
                    <a:satMod val="115000"/>
                  </a:srgbClr>
                </a:gs>
                <a:gs pos="50000">
                  <a:srgbClr val="F7D60D">
                    <a:shade val="67500"/>
                    <a:satMod val="115000"/>
                  </a:srgbClr>
                </a:gs>
                <a:gs pos="100000">
                  <a:srgbClr val="F7D60D">
                    <a:shade val="100000"/>
                    <a:satMod val="115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ln w="0">
              <a:noFill/>
            </a:ln>
          </c:spPr>
          <c:invertIfNegative val="0"/>
          <c:cat>
            <c:strRef>
              <c:f>Regional_Performance!$B$6:$B$15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Regional_Performance!$D$6:$D$15</c:f>
              <c:numCache>
                <c:formatCode>#,##0</c:formatCode>
                <c:ptCount val="10"/>
                <c:pt idx="0">
                  <c:v>5769703.1500000004</c:v>
                </c:pt>
                <c:pt idx="1">
                  <c:v>2055401.57</c:v>
                </c:pt>
                <c:pt idx="2">
                  <c:v>1818891.67</c:v>
                </c:pt>
                <c:pt idx="3">
                  <c:v>861472.79</c:v>
                </c:pt>
                <c:pt idx="4">
                  <c:v>781708.80000000005</c:v>
                </c:pt>
                <c:pt idx="5">
                  <c:v>595127.78</c:v>
                </c:pt>
                <c:pt idx="6">
                  <c:v>591137.81000000006</c:v>
                </c:pt>
                <c:pt idx="7">
                  <c:v>346123.35</c:v>
                </c:pt>
                <c:pt idx="8">
                  <c:v>334212.34999999998</c:v>
                </c:pt>
                <c:pt idx="9">
                  <c:v>317657.93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231010304"/>
        <c:axId val="230596608"/>
      </c:barChart>
      <c:catAx>
        <c:axId val="23101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230596608"/>
        <c:crosses val="autoZero"/>
        <c:auto val="1"/>
        <c:lblAlgn val="ctr"/>
        <c:lblOffset val="100"/>
        <c:noMultiLvlLbl val="0"/>
      </c:catAx>
      <c:valAx>
        <c:axId val="2305966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200" b="1" strike="noStrike" spc="-1">
                <a:solidFill>
                  <a:schemeClr val="bg1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231010304"/>
        <c:crosses val="autoZero"/>
        <c:crossBetween val="between"/>
        <c:dispUnits>
          <c:builtInUnit val="millions"/>
          <c:dispUnitsLbl>
            <c:layout/>
            <c:tx>
              <c:rich>
                <a:bodyPr/>
                <a:lstStyle/>
                <a:p>
                  <a:pPr>
                    <a:defRPr sz="2000"/>
                  </a:pPr>
                  <a:r>
                    <a:rPr lang="en-US" sz="2000">
                      <a:solidFill>
                        <a:schemeClr val="bg1"/>
                      </a:solidFill>
                    </a:rPr>
                    <a:t>revenue</a:t>
                  </a:r>
                  <a:r>
                    <a:rPr lang="en-US" sz="2000" baseline="0">
                      <a:solidFill>
                        <a:schemeClr val="bg1"/>
                      </a:solidFill>
                    </a:rPr>
                    <a:t> rM$</a:t>
                  </a:r>
                  <a:endParaRPr lang="ru-RU" sz="2000">
                    <a:solidFill>
                      <a:schemeClr val="bg1"/>
                    </a:solidFill>
                  </a:endParaRPr>
                </a:p>
              </c:rich>
            </c:tx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75000"/>
      </a:schemeClr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8607273030680327"/>
                  <c:y val="0.17234118074516475"/>
                </c:manualLayout>
              </c:layout>
              <c:spPr/>
              <c:txPr>
                <a:bodyPr/>
                <a:lstStyle/>
                <a:p>
                  <a:pPr>
                    <a:defRPr sz="16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17959131865611688"/>
                  <c:y val="-0.2139357199294154"/>
                </c:manualLayout>
              </c:layout>
              <c:tx>
                <c:rich>
                  <a:bodyPr/>
                  <a:lstStyle/>
                  <a:p>
                    <a:r>
                      <a:rPr lang="en-US" sz="2000"/>
                      <a:t>Loyal</a:t>
                    </a:r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spPr/>
              <c:txPr>
                <a:bodyPr/>
                <a:lstStyle/>
                <a:p>
                  <a:pPr>
                    <a:defRPr sz="20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.16354949708718189"/>
                  <c:y val="-3.5780416010055348E-2"/>
                </c:manualLayout>
              </c:layout>
              <c:spPr/>
              <c:txPr>
                <a:bodyPr/>
                <a:lstStyle/>
                <a:p>
                  <a:pPr>
                    <a:defRPr sz="2000" b="1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.17094394507242289"/>
                  <c:y val="0.17392723576314165"/>
                </c:manualLayout>
              </c:layout>
              <c:tx>
                <c:rich>
                  <a:bodyPr/>
                  <a:lstStyle/>
                  <a:p>
                    <a:r>
                      <a:rPr lang="en-US" sz="1800"/>
                      <a:t>Promising</a:t>
                    </a:r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8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RFM_Analysis!$C$6:$C$10</c:f>
              <c:numCache>
                <c:formatCode>#,##0</c:formatCode>
                <c:ptCount val="5"/>
                <c:pt idx="0">
                  <c:v>21014</c:v>
                </c:pt>
                <c:pt idx="1">
                  <c:v>30947</c:v>
                </c:pt>
                <c:pt idx="2">
                  <c:v>10310</c:v>
                </c:pt>
                <c:pt idx="3">
                  <c:v>10507</c:v>
                </c:pt>
                <c:pt idx="4">
                  <c:v>20580</c:v>
                </c:pt>
              </c:numCache>
            </c:numRef>
          </c:val>
        </c:ser>
        <c:ser>
          <c:idx val="1"/>
          <c:order val="1"/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RFM_Analysis!$D$6:$D$10</c:f>
              <c:numCache>
                <c:formatCode>#,##0.00</c:formatCode>
                <c:ptCount val="5"/>
                <c:pt idx="0">
                  <c:v>330.21</c:v>
                </c:pt>
                <c:pt idx="1">
                  <c:v>187.71</c:v>
                </c:pt>
                <c:pt idx="2">
                  <c:v>108.61</c:v>
                </c:pt>
                <c:pt idx="3">
                  <c:v>50.28</c:v>
                </c:pt>
                <c:pt idx="4">
                  <c:v>49.73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RFM_Analysis!$E$6:$E$10</c:f>
              <c:numCache>
                <c:formatCode>#,##0</c:formatCode>
                <c:ptCount val="5"/>
                <c:pt idx="0">
                  <c:v>6939109.8799999999</c:v>
                </c:pt>
                <c:pt idx="1">
                  <c:v>5809199.3200000003</c:v>
                </c:pt>
                <c:pt idx="2">
                  <c:v>1119721.76</c:v>
                </c:pt>
                <c:pt idx="3">
                  <c:v>528271.39</c:v>
                </c:pt>
                <c:pt idx="4">
                  <c:v>1023471.4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>
                <a:solidFill>
                  <a:schemeClr val="bg1"/>
                </a:solidFill>
              </a:defRPr>
            </a:pPr>
            <a:r>
              <a:rPr lang="en-US" sz="2400">
                <a:solidFill>
                  <a:schemeClr val="bg1"/>
                </a:solidFill>
              </a:rPr>
              <a:t>Top 7 category</a:t>
            </a:r>
            <a:r>
              <a:rPr lang="en-US" sz="2400" baseline="0">
                <a:solidFill>
                  <a:schemeClr val="bg1"/>
                </a:solidFill>
              </a:rPr>
              <a:t> by r</a:t>
            </a:r>
            <a:r>
              <a:rPr lang="en-US" sz="2400">
                <a:solidFill>
                  <a:schemeClr val="bg1"/>
                </a:solidFill>
              </a:rPr>
              <a:t>evenue (R$)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522788296270555"/>
          <c:y val="0.14110490841144366"/>
          <c:w val="0.6787437785568855"/>
          <c:h val="0.56424599548540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Category_Performance!$E$5</c:f>
              <c:strCache>
                <c:ptCount val="1"/>
                <c:pt idx="0">
                  <c:v>Revenue (R$)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ln w="0">
              <a:noFill/>
            </a:ln>
          </c:spPr>
          <c:invertIfNegative val="0"/>
          <c:cat>
            <c:strRef>
              <c:f>Category_Performance!$B$6:$B$20</c:f>
              <c:strCache>
                <c:ptCount val="15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  <c:pt idx="10">
                  <c:v>garden_tools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</c:strCache>
            </c:strRef>
          </c:cat>
          <c:val>
            <c:numRef>
              <c:f>Category_Performance!$E$6:$E$12</c:f>
              <c:numCache>
                <c:formatCode>#,##0.00</c:formatCode>
                <c:ptCount val="7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31012864"/>
        <c:axId val="230600064"/>
      </c:barChart>
      <c:catAx>
        <c:axId val="2310128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800" b="1" strike="noStrike" spc="-1">
                <a:solidFill>
                  <a:schemeClr val="bg1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230600064"/>
        <c:crosses val="autoZero"/>
        <c:auto val="0"/>
        <c:lblAlgn val="ctr"/>
        <c:lblOffset val="100"/>
        <c:noMultiLvlLbl val="0"/>
      </c:catAx>
      <c:valAx>
        <c:axId val="230600064"/>
        <c:scaling>
          <c:orientation val="minMax"/>
        </c:scaling>
        <c:delete val="0"/>
        <c:axPos val="r"/>
        <c:majorGridlines>
          <c:spPr>
            <a:ln>
              <a:solidFill>
                <a:srgbClr val="D9D9D9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2000">
                <a:solidFill>
                  <a:schemeClr val="bg1"/>
                </a:solidFill>
              </a:defRPr>
            </a:pPr>
            <a:endParaRPr lang="en-US"/>
          </a:p>
        </c:txPr>
        <c:crossAx val="23101286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92021421819650151"/>
                <c:y val="0.17855810158561639"/>
              </c:manualLayout>
            </c:layout>
            <c:tx>
              <c:rich>
                <a:bodyPr/>
                <a:lstStyle/>
                <a:p>
                  <a:pPr>
                    <a:defRPr sz="2400">
                      <a:solidFill>
                        <a:schemeClr val="bg1"/>
                      </a:solidFill>
                    </a:defRPr>
                  </a:pPr>
                  <a:r>
                    <a:rPr lang="az-Latn-AZ" sz="2400">
                      <a:solidFill>
                        <a:schemeClr val="bg1"/>
                      </a:solidFill>
                    </a:rPr>
                    <a:t>revenue</a:t>
                  </a:r>
                  <a:r>
                    <a:rPr lang="az-Latn-AZ" sz="2400" baseline="0">
                      <a:solidFill>
                        <a:schemeClr val="bg1"/>
                      </a:solidFill>
                    </a:rPr>
                    <a:t> </a:t>
                  </a:r>
                  <a:r>
                    <a:rPr lang="en-US" sz="2400" baseline="0">
                      <a:solidFill>
                        <a:schemeClr val="bg1"/>
                      </a:solidFill>
                    </a:rPr>
                    <a:t>(</a:t>
                  </a:r>
                  <a:r>
                    <a:rPr lang="az-Latn-AZ" sz="2400" baseline="0">
                      <a:solidFill>
                        <a:schemeClr val="bg1"/>
                      </a:solidFill>
                    </a:rPr>
                    <a:t>R</a:t>
                  </a:r>
                  <a:r>
                    <a:rPr lang="en-US" sz="2400" b="1" i="0" u="none" strike="noStrike" baseline="0">
                      <a:effectLst/>
                    </a:rPr>
                    <a:t>$ </a:t>
                  </a:r>
                  <a:r>
                    <a:rPr lang="az-Latn-AZ" sz="2400" baseline="0">
                      <a:solidFill>
                        <a:schemeClr val="bg1"/>
                      </a:solidFill>
                    </a:rPr>
                    <a:t>M</a:t>
                  </a:r>
                  <a:r>
                    <a:rPr lang="en-US" sz="2400" baseline="0">
                      <a:solidFill>
                        <a:schemeClr val="bg1"/>
                      </a:solidFill>
                    </a:rPr>
                    <a:t>)</a:t>
                  </a:r>
                </a:p>
              </c:rich>
            </c:tx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75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400" b="1" strike="noStrike" spc="-1">
                <a:solidFill>
                  <a:srgbClr val="000000"/>
                </a:solidFill>
                <a:latin typeface="Calibri"/>
              </a:rPr>
              <a:t>Orders by Day of Week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KPI_Trends!$C$18</c:f>
              <c:strCache>
                <c:ptCount val="1"/>
                <c:pt idx="0">
                  <c:v>Orders</c:v>
                </c:pt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KPI_Trends!$B$19:$B$25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KPI_Trends!$C$19:$C$25</c:f>
              <c:numCache>
                <c:formatCode>#,##0</c:formatCode>
                <c:ptCount val="7"/>
                <c:pt idx="0">
                  <c:v>11635</c:v>
                </c:pt>
                <c:pt idx="1">
                  <c:v>15701</c:v>
                </c:pt>
                <c:pt idx="2">
                  <c:v>15503</c:v>
                </c:pt>
                <c:pt idx="3">
                  <c:v>15076</c:v>
                </c:pt>
                <c:pt idx="4">
                  <c:v>14323</c:v>
                </c:pt>
                <c:pt idx="5">
                  <c:v>13685</c:v>
                </c:pt>
                <c:pt idx="6">
                  <c:v>10555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231013888"/>
        <c:axId val="230601792"/>
      </c:barChart>
      <c:catAx>
        <c:axId val="23101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600" b="1" strike="noStrike" spc="-1">
                <a:solidFill>
                  <a:srgbClr val="000000"/>
                </a:solidFill>
                <a:latin typeface="Agency FB" pitchFamily="34" charset="0"/>
              </a:defRPr>
            </a:pPr>
            <a:endParaRPr lang="en-US"/>
          </a:p>
        </c:txPr>
        <c:crossAx val="230601792"/>
        <c:crosses val="autoZero"/>
        <c:auto val="1"/>
        <c:lblAlgn val="ctr"/>
        <c:lblOffset val="100"/>
        <c:noMultiLvlLbl val="0"/>
      </c:catAx>
      <c:valAx>
        <c:axId val="230601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01388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3544018058690745E-2"/>
                <c:y val="0.26847477398658504"/>
              </c:manualLayout>
            </c:layout>
            <c:tx>
              <c:rich>
                <a:bodyPr rot="-5400000" vert="horz"/>
                <a:lstStyle/>
                <a:p>
                  <a:pPr>
                    <a:defRPr sz="2000"/>
                  </a:pPr>
                  <a:r>
                    <a:rPr lang="en-US" sz="2000"/>
                    <a:t>Rrevenue</a:t>
                  </a:r>
                  <a:r>
                    <a:rPr lang="en-US" sz="2000" baseline="0"/>
                    <a:t> (r$ K)</a:t>
                  </a:r>
                  <a:endParaRPr lang="ru-RU" sz="2000"/>
                </a:p>
              </c:rich>
            </c:tx>
          </c:dispUnitsLbl>
        </c:dispUnits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400" b="1" strike="noStrike" spc="-1">
                <a:solidFill>
                  <a:srgbClr val="000000"/>
                </a:solidFill>
                <a:latin typeface="Calibri"/>
              </a:rPr>
              <a:t>Orders by Hour of Day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KPI_Trends!$S$5</c:f>
              <c:strCache>
                <c:ptCount val="1"/>
                <c:pt idx="0">
                  <c:v>Orders</c:v>
                </c:pt>
              </c:strCache>
            </c:strRef>
          </c:tx>
          <c:spPr>
            <a:ln w="76200">
              <a:solidFill>
                <a:schemeClr val="tx2">
                  <a:lumMod val="60000"/>
                  <a:lumOff val="40000"/>
                </a:schemeClr>
              </a:solidFill>
              <a:round/>
            </a:ln>
          </c:spPr>
          <c:marker>
            <c:symbol val="circle"/>
            <c:size val="9"/>
            <c:spPr>
              <a:solidFill>
                <a:schemeClr val="tx2">
                  <a:lumMod val="75000"/>
                </a:schemeClr>
              </a:solidFill>
              <a:ln w="76200"/>
            </c:spPr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KPI_Trends!$R$6:$R$29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KPI_Trends!$S$6:$S$29</c:f>
              <c:numCache>
                <c:formatCode>#,##0</c:formatCode>
                <c:ptCount val="24"/>
                <c:pt idx="0">
                  <c:v>2321</c:v>
                </c:pt>
                <c:pt idx="1">
                  <c:v>1133</c:v>
                </c:pt>
                <c:pt idx="2">
                  <c:v>496</c:v>
                </c:pt>
                <c:pt idx="3">
                  <c:v>259</c:v>
                </c:pt>
                <c:pt idx="4">
                  <c:v>203</c:v>
                </c:pt>
                <c:pt idx="5">
                  <c:v>182</c:v>
                </c:pt>
                <c:pt idx="6">
                  <c:v>478</c:v>
                </c:pt>
                <c:pt idx="7">
                  <c:v>1199</c:v>
                </c:pt>
                <c:pt idx="8">
                  <c:v>2907</c:v>
                </c:pt>
                <c:pt idx="9">
                  <c:v>4647</c:v>
                </c:pt>
                <c:pt idx="10">
                  <c:v>5978</c:v>
                </c:pt>
                <c:pt idx="11">
                  <c:v>6385</c:v>
                </c:pt>
                <c:pt idx="12">
                  <c:v>5803</c:v>
                </c:pt>
                <c:pt idx="13">
                  <c:v>6309</c:v>
                </c:pt>
                <c:pt idx="14">
                  <c:v>6383</c:v>
                </c:pt>
                <c:pt idx="15">
                  <c:v>6249</c:v>
                </c:pt>
                <c:pt idx="16">
                  <c:v>6476</c:v>
                </c:pt>
                <c:pt idx="17">
                  <c:v>5963</c:v>
                </c:pt>
                <c:pt idx="18">
                  <c:v>5585</c:v>
                </c:pt>
                <c:pt idx="19">
                  <c:v>5801</c:v>
                </c:pt>
                <c:pt idx="20">
                  <c:v>6007</c:v>
                </c:pt>
                <c:pt idx="21">
                  <c:v>6040</c:v>
                </c:pt>
                <c:pt idx="22">
                  <c:v>5659</c:v>
                </c:pt>
                <c:pt idx="23">
                  <c:v>4015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32190464"/>
        <c:axId val="232488960"/>
      </c:lineChart>
      <c:catAx>
        <c:axId val="2321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000" b="1" strike="noStrike" spc="-1">
                <a:solidFill>
                  <a:srgbClr val="000000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232488960"/>
        <c:crosses val="autoZero"/>
        <c:auto val="1"/>
        <c:lblAlgn val="ctr"/>
        <c:lblOffset val="100"/>
        <c:noMultiLvlLbl val="0"/>
      </c:catAx>
      <c:valAx>
        <c:axId val="232488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20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190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Quarter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KPI_Trends!$E$5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KPI_Trends!$B$6:$C$14</c:f>
              <c:multiLvlStrCache>
                <c:ptCount val="9"/>
                <c:lvl>
                  <c:pt idx="0">
                    <c:v>Q3</c:v>
                  </c:pt>
                  <c:pt idx="1">
                    <c:v>Q4</c:v>
                  </c:pt>
                  <c:pt idx="2">
                    <c:v>Q1</c:v>
                  </c:pt>
                  <c:pt idx="3">
                    <c:v>Q2</c:v>
                  </c:pt>
                  <c:pt idx="4">
                    <c:v>Q3</c:v>
                  </c:pt>
                  <c:pt idx="5">
                    <c:v>Q4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2016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2017</c:v>
                  </c:pt>
                  <c:pt idx="4">
                    <c:v>2017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2018</c:v>
                  </c:pt>
                  <c:pt idx="8">
                    <c:v>2018</c:v>
                  </c:pt>
                </c:lvl>
              </c:multiLvlStrCache>
            </c:multiLvlStrRef>
          </c:cat>
          <c:val>
            <c:numRef>
              <c:f>KPI_Trends!$E$6:$E$14</c:f>
              <c:numCache>
                <c:formatCode>#,##0</c:formatCode>
                <c:ptCount val="9"/>
                <c:pt idx="0">
                  <c:v>143.46</c:v>
                </c:pt>
                <c:pt idx="1">
                  <c:v>46510.28</c:v>
                </c:pt>
                <c:pt idx="2">
                  <c:v>813052.64</c:v>
                </c:pt>
                <c:pt idx="3">
                  <c:v>1447714.17</c:v>
                </c:pt>
                <c:pt idx="4">
                  <c:v>1913208.93</c:v>
                </c:pt>
                <c:pt idx="5">
                  <c:v>2747559.5</c:v>
                </c:pt>
                <c:pt idx="6">
                  <c:v>3164654.11</c:v>
                </c:pt>
                <c:pt idx="7">
                  <c:v>3273631.74</c:v>
                </c:pt>
                <c:pt idx="8">
                  <c:v>2013298.92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011328"/>
        <c:axId val="232489536"/>
      </c:barChart>
      <c:catAx>
        <c:axId val="2310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489536"/>
        <c:crosses val="autoZero"/>
        <c:auto val="1"/>
        <c:lblAlgn val="ctr"/>
        <c:lblOffset val="100"/>
        <c:noMultiLvlLbl val="0"/>
      </c:catAx>
      <c:valAx>
        <c:axId val="232489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011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Day of Week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KPI_Trends!$C$18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KPI_Trends!$B$19:$B$25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KPI_Trends!$C$19:$C$25</c:f>
              <c:numCache>
                <c:formatCode>#,##0</c:formatCode>
                <c:ptCount val="7"/>
                <c:pt idx="0">
                  <c:v>11635</c:v>
                </c:pt>
                <c:pt idx="1">
                  <c:v>15701</c:v>
                </c:pt>
                <c:pt idx="2">
                  <c:v>15503</c:v>
                </c:pt>
                <c:pt idx="3">
                  <c:v>15076</c:v>
                </c:pt>
                <c:pt idx="4">
                  <c:v>14323</c:v>
                </c:pt>
                <c:pt idx="5">
                  <c:v>13685</c:v>
                </c:pt>
                <c:pt idx="6">
                  <c:v>10555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539264"/>
        <c:axId val="232491264"/>
      </c:barChart>
      <c:catAx>
        <c:axId val="2305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491264"/>
        <c:crosses val="autoZero"/>
        <c:auto val="1"/>
        <c:lblAlgn val="ctr"/>
        <c:lblOffset val="100"/>
        <c:noMultiLvlLbl val="0"/>
      </c:catAx>
      <c:valAx>
        <c:axId val="232491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0539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Hour of Day</a:t>
            </a:r>
          </a:p>
        </c:rich>
      </c:tx>
      <c:layout>
        <c:manualLayout>
          <c:xMode val="edge"/>
          <c:yMode val="edge"/>
          <c:x val="0.52020185637021499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KPI_Trends!$S$5</c:f>
              <c:strCache>
                <c:ptCount val="1"/>
                <c:pt idx="0">
                  <c:v>Orders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KPI_Trends!$R$6:$R$29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KPI_Trends!$S$6:$S$29</c:f>
              <c:numCache>
                <c:formatCode>#,##0</c:formatCode>
                <c:ptCount val="24"/>
                <c:pt idx="0">
                  <c:v>2321</c:v>
                </c:pt>
                <c:pt idx="1">
                  <c:v>1133</c:v>
                </c:pt>
                <c:pt idx="2">
                  <c:v>496</c:v>
                </c:pt>
                <c:pt idx="3">
                  <c:v>259</c:v>
                </c:pt>
                <c:pt idx="4">
                  <c:v>203</c:v>
                </c:pt>
                <c:pt idx="5">
                  <c:v>182</c:v>
                </c:pt>
                <c:pt idx="6">
                  <c:v>478</c:v>
                </c:pt>
                <c:pt idx="7">
                  <c:v>1199</c:v>
                </c:pt>
                <c:pt idx="8">
                  <c:v>2907</c:v>
                </c:pt>
                <c:pt idx="9">
                  <c:v>4647</c:v>
                </c:pt>
                <c:pt idx="10">
                  <c:v>5978</c:v>
                </c:pt>
                <c:pt idx="11">
                  <c:v>6385</c:v>
                </c:pt>
                <c:pt idx="12">
                  <c:v>5803</c:v>
                </c:pt>
                <c:pt idx="13">
                  <c:v>6309</c:v>
                </c:pt>
                <c:pt idx="14">
                  <c:v>6383</c:v>
                </c:pt>
                <c:pt idx="15">
                  <c:v>6249</c:v>
                </c:pt>
                <c:pt idx="16">
                  <c:v>6476</c:v>
                </c:pt>
                <c:pt idx="17">
                  <c:v>5963</c:v>
                </c:pt>
                <c:pt idx="18">
                  <c:v>5585</c:v>
                </c:pt>
                <c:pt idx="19">
                  <c:v>5801</c:v>
                </c:pt>
                <c:pt idx="20">
                  <c:v>6007</c:v>
                </c:pt>
                <c:pt idx="21">
                  <c:v>6040</c:v>
                </c:pt>
                <c:pt idx="22">
                  <c:v>5659</c:v>
                </c:pt>
                <c:pt idx="23">
                  <c:v>4015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32192000"/>
        <c:axId val="232494144"/>
      </c:lineChart>
      <c:catAx>
        <c:axId val="2321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494144"/>
        <c:crosses val="autoZero"/>
        <c:auto val="1"/>
        <c:lblAlgn val="ctr"/>
        <c:lblOffset val="100"/>
        <c:noMultiLvlLbl val="0"/>
      </c:catAx>
      <c:valAx>
        <c:axId val="232494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1920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States by Revenue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Regional_Performance!$D$5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Regional_Performance!$B$6:$B$15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Regional_Performance!$D$6:$D$15</c:f>
              <c:numCache>
                <c:formatCode>#,##0</c:formatCode>
                <c:ptCount val="10"/>
                <c:pt idx="0">
                  <c:v>5769703.1500000004</c:v>
                </c:pt>
                <c:pt idx="1">
                  <c:v>2055401.57</c:v>
                </c:pt>
                <c:pt idx="2">
                  <c:v>1818891.67</c:v>
                </c:pt>
                <c:pt idx="3">
                  <c:v>861472.79</c:v>
                </c:pt>
                <c:pt idx="4">
                  <c:v>781708.80000000005</c:v>
                </c:pt>
                <c:pt idx="5">
                  <c:v>595127.78</c:v>
                </c:pt>
                <c:pt idx="6">
                  <c:v>591137.81000000006</c:v>
                </c:pt>
                <c:pt idx="7">
                  <c:v>346123.35</c:v>
                </c:pt>
                <c:pt idx="8">
                  <c:v>334212.34999999998</c:v>
                </c:pt>
                <c:pt idx="9">
                  <c:v>317657.93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190976"/>
        <c:axId val="232494720"/>
      </c:barChart>
      <c:catAx>
        <c:axId val="23219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494720"/>
        <c:crosses val="autoZero"/>
        <c:auto val="1"/>
        <c:lblAlgn val="ctr"/>
        <c:lblOffset val="100"/>
        <c:noMultiLvlLbl val="0"/>
      </c:catAx>
      <c:valAx>
        <c:axId val="232494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190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5</a:t>
            </a:r>
            <a:endParaRPr lang="en-US"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RFM_Analysis!$E$5</c:f>
              <c:strCache>
                <c:ptCount val="1"/>
                <c:pt idx="0">
                  <c:v>Total Revenue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RFM_Analysis!$E$6:$E$10</c:f>
              <c:numCache>
                <c:formatCode>#,##0</c:formatCode>
                <c:ptCount val="5"/>
                <c:pt idx="0">
                  <c:v>6939109.8799999999</c:v>
                </c:pt>
                <c:pt idx="1">
                  <c:v>5809199.3200000003</c:v>
                </c:pt>
                <c:pt idx="2">
                  <c:v>1119721.76</c:v>
                </c:pt>
                <c:pt idx="3">
                  <c:v>528271.39</c:v>
                </c:pt>
                <c:pt idx="4">
                  <c:v>1023471.4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Customers by RFM Segment</a:t>
            </a:r>
          </a:p>
        </c:rich>
      </c:tx>
      <c:layout/>
      <c:overlay val="0"/>
      <c:spPr>
        <a:ln>
          <a:solidFill>
            <a:schemeClr val="bg1"/>
          </a:solidFill>
        </a:ln>
      </c:spPr>
    </c:title>
    <c:autoTitleDeleted val="0"/>
    <c:plotArea>
      <c:layout>
        <c:manualLayout>
          <c:layoutTarget val="inner"/>
          <c:xMode val="edge"/>
          <c:yMode val="edge"/>
          <c:x val="0.19908705570085478"/>
          <c:y val="0.15239880036906461"/>
          <c:w val="0.73523870672016034"/>
          <c:h val="0.73883858140531022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RFM_Analysis!$C$6:$C$10</c:f>
              <c:numCache>
                <c:formatCode>#,##0</c:formatCode>
                <c:ptCount val="5"/>
                <c:pt idx="0">
                  <c:v>21014</c:v>
                </c:pt>
                <c:pt idx="1">
                  <c:v>30947</c:v>
                </c:pt>
                <c:pt idx="2">
                  <c:v>10310</c:v>
                </c:pt>
                <c:pt idx="3">
                  <c:v>10507</c:v>
                </c:pt>
                <c:pt idx="4">
                  <c:v>20580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RFM_Analysis!$D$6:$D$10</c:f>
              <c:numCache>
                <c:formatCode>#,##0.00</c:formatCode>
                <c:ptCount val="5"/>
                <c:pt idx="0">
                  <c:v>330.21</c:v>
                </c:pt>
                <c:pt idx="1">
                  <c:v>187.71</c:v>
                </c:pt>
                <c:pt idx="2">
                  <c:v>108.61</c:v>
                </c:pt>
                <c:pt idx="3">
                  <c:v>50.28</c:v>
                </c:pt>
                <c:pt idx="4">
                  <c:v>49.73</c:v>
                </c:pt>
              </c:numCache>
            </c:numRef>
          </c:val>
        </c:ser>
        <c:ser>
          <c:idx val="2"/>
          <c:order val="2"/>
          <c:spPr>
            <a:ln w="3175"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7DF4F">
                      <a:shade val="30000"/>
                      <a:satMod val="115000"/>
                    </a:srgbClr>
                  </a:gs>
                  <a:gs pos="50000">
                    <a:srgbClr val="F7DF4F">
                      <a:shade val="67500"/>
                      <a:satMod val="115000"/>
                    </a:srgbClr>
                  </a:gs>
                  <a:gs pos="100000">
                    <a:srgbClr val="F7DF4F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 w="3175">
                <a:solidFill>
                  <a:schemeClr val="bg1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3175">
                <a:solidFill>
                  <a:schemeClr val="bg1"/>
                </a:solidFill>
              </a:ln>
            </c:spPr>
          </c:dPt>
          <c:cat>
            <c:strRef>
              <c:f>RFM_Analysis!$B$6:$B$10</c:f>
              <c:strCache>
                <c:ptCount val="5"/>
                <c:pt idx="0">
                  <c:v>Champions</c:v>
                </c:pt>
                <c:pt idx="1">
                  <c:v>Loyal</c:v>
                </c:pt>
                <c:pt idx="2">
                  <c:v>At Risk</c:v>
                </c:pt>
                <c:pt idx="3">
                  <c:v>Lost</c:v>
                </c:pt>
                <c:pt idx="4">
                  <c:v>Promising</c:v>
                </c:pt>
              </c:strCache>
            </c:strRef>
          </c:cat>
          <c:val>
            <c:numRef>
              <c:f>RFM_Analysis!$E$6:$E$10</c:f>
              <c:numCache>
                <c:formatCode>#,##0</c:formatCode>
                <c:ptCount val="5"/>
                <c:pt idx="0">
                  <c:v>6939109.8799999999</c:v>
                </c:pt>
                <c:pt idx="1">
                  <c:v>5809199.3200000003</c:v>
                </c:pt>
                <c:pt idx="2">
                  <c:v>1119721.76</c:v>
                </c:pt>
                <c:pt idx="3">
                  <c:v>528271.39</c:v>
                </c:pt>
                <c:pt idx="4">
                  <c:v>1023471.4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233022976"/>
        <c:axId val="232202816"/>
      </c:barChart>
      <c:catAx>
        <c:axId val="2330229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/>
            </a:solidFill>
          </a:ln>
        </c:spPr>
        <c:crossAx val="232202816"/>
        <c:crosses val="autoZero"/>
        <c:auto val="1"/>
        <c:lblAlgn val="ctr"/>
        <c:lblOffset val="100"/>
        <c:noMultiLvlLbl val="0"/>
      </c:catAx>
      <c:valAx>
        <c:axId val="2322028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33022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On-Time vs Late Deliveries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Delivery_Analysis!$D$10</c:f>
              <c:strCache>
                <c:ptCount val="1"/>
                <c:pt idx="0">
                  <c:v>%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Delivery_Analysis!$B$11:$B$12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Delivery_Analysis!$D$11:$D$12</c:f>
              <c:numCache>
                <c:formatCode>0.0\%</c:formatCode>
                <c:ptCount val="2"/>
                <c:pt idx="0">
                  <c:v>8.1</c:v>
                </c:pt>
                <c:pt idx="1">
                  <c:v>91.9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10</xdr:row>
      <xdr:rowOff>30480</xdr:rowOff>
    </xdr:from>
    <xdr:to>
      <xdr:col>13</xdr:col>
      <xdr:colOff>975360</xdr:colOff>
      <xdr:row>21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15240</xdr:colOff>
      <xdr:row>8</xdr:row>
      <xdr:rowOff>259080</xdr:rowOff>
    </xdr:from>
    <xdr:to>
      <xdr:col>21</xdr:col>
      <xdr:colOff>379615</xdr:colOff>
      <xdr:row>21</xdr:row>
      <xdr:rowOff>692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537211</xdr:colOff>
      <xdr:row>20</xdr:row>
      <xdr:rowOff>0</xdr:rowOff>
    </xdr:from>
    <xdr:to>
      <xdr:col>27</xdr:col>
      <xdr:colOff>411480</xdr:colOff>
      <xdr:row>40</xdr:row>
      <xdr:rowOff>213360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20</xdr:row>
      <xdr:rowOff>34290</xdr:rowOff>
    </xdr:from>
    <xdr:to>
      <xdr:col>13</xdr:col>
      <xdr:colOff>106680</xdr:colOff>
      <xdr:row>40</xdr:row>
      <xdr:rowOff>289560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1112520</xdr:colOff>
      <xdr:row>20</xdr:row>
      <xdr:rowOff>45720</xdr:rowOff>
    </xdr:from>
    <xdr:to>
      <xdr:col>22</xdr:col>
      <xdr:colOff>941070</xdr:colOff>
      <xdr:row>40</xdr:row>
      <xdr:rowOff>289560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472440</xdr:colOff>
      <xdr:row>8</xdr:row>
      <xdr:rowOff>243840</xdr:rowOff>
    </xdr:from>
    <xdr:to>
      <xdr:col>32</xdr:col>
      <xdr:colOff>30480</xdr:colOff>
      <xdr:row>20</xdr:row>
      <xdr:rowOff>60960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0.16793</cdr:x>
      <cdr:y>0.01471</cdr:y>
    </cdr:from>
    <cdr:to>
      <cdr:x>0.86178</cdr:x>
      <cdr:y>0.1138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25829" y="74204"/>
          <a:ext cx="3825240" cy="4998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ru-RU" sz="2400" b="1">
              <a:solidFill>
                <a:sysClr val="windowText" lastClr="000000"/>
              </a:solidFill>
            </a:rPr>
            <a:t>С</a:t>
          </a:r>
          <a:r>
            <a:rPr lang="en-US" sz="2400" b="1">
              <a:solidFill>
                <a:sysClr val="windowText" lastClr="000000"/>
              </a:solidFill>
            </a:rPr>
            <a:t>ustomer</a:t>
          </a:r>
          <a:r>
            <a:rPr lang="en-US" sz="2400" b="1" baseline="0">
              <a:solidFill>
                <a:sysClr val="windowText" lastClr="000000"/>
              </a:solidFill>
            </a:rPr>
            <a:t> by RFM segment</a:t>
          </a:r>
          <a:endParaRPr lang="en-US" sz="24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118533</xdr:colOff>
      <xdr:row>3</xdr:row>
      <xdr:rowOff>33868</xdr:rowOff>
    </xdr:from>
    <xdr:to>
      <xdr:col>15</xdr:col>
      <xdr:colOff>406400</xdr:colOff>
      <xdr:row>14</xdr:row>
      <xdr:rowOff>110068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313267</xdr:colOff>
      <xdr:row>16</xdr:row>
      <xdr:rowOff>16934</xdr:rowOff>
    </xdr:from>
    <xdr:to>
      <xdr:col>10</xdr:col>
      <xdr:colOff>67733</xdr:colOff>
      <xdr:row>24</xdr:row>
      <xdr:rowOff>152401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135466</xdr:colOff>
      <xdr:row>16</xdr:row>
      <xdr:rowOff>25401</xdr:rowOff>
    </xdr:from>
    <xdr:to>
      <xdr:col>16</xdr:col>
      <xdr:colOff>396852</xdr:colOff>
      <xdr:row>26</xdr:row>
      <xdr:rowOff>25401</xdr:rowOff>
    </xdr:to>
    <xdr:graphicFrame macro="">
      <xdr:nvGraphicFramePr>
        <xdr:cNvPr id="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254000</xdr:colOff>
      <xdr:row>3</xdr:row>
      <xdr:rowOff>135466</xdr:rowOff>
    </xdr:from>
    <xdr:to>
      <xdr:col>15</xdr:col>
      <xdr:colOff>303374</xdr:colOff>
      <xdr:row>21</xdr:row>
      <xdr:rowOff>60573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423333</xdr:colOff>
      <xdr:row>0</xdr:row>
      <xdr:rowOff>194734</xdr:rowOff>
    </xdr:from>
    <xdr:to>
      <xdr:col>18</xdr:col>
      <xdr:colOff>586387</xdr:colOff>
      <xdr:row>12</xdr:row>
      <xdr:rowOff>151214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414866</xdr:colOff>
      <xdr:row>13</xdr:row>
      <xdr:rowOff>160867</xdr:rowOff>
    </xdr:from>
    <xdr:to>
      <xdr:col>18</xdr:col>
      <xdr:colOff>508001</xdr:colOff>
      <xdr:row>28</xdr:row>
      <xdr:rowOff>97367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215152</xdr:colOff>
      <xdr:row>42</xdr:row>
      <xdr:rowOff>40342</xdr:rowOff>
    </xdr:from>
    <xdr:to>
      <xdr:col>14</xdr:col>
      <xdr:colOff>2070846</xdr:colOff>
      <xdr:row>57</xdr:row>
      <xdr:rowOff>94130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584200</xdr:colOff>
      <xdr:row>2</xdr:row>
      <xdr:rowOff>84666</xdr:rowOff>
    </xdr:from>
    <xdr:to>
      <xdr:col>12</xdr:col>
      <xdr:colOff>356213</xdr:colOff>
      <xdr:row>14</xdr:row>
      <xdr:rowOff>180920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ella/Downloads/Olist_Executive_Dashboard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Data_Quality"/>
      <sheetName val="KPI_Trends"/>
      <sheetName val="Regional_Performance"/>
      <sheetName val="Customer_Segments"/>
      <sheetName val="RFM_Analysis"/>
      <sheetName val="Top_Customers"/>
      <sheetName val="Category_Performance"/>
      <sheetName val="Top_Products"/>
      <sheetName val="Basket_and_Sellers"/>
      <sheetName val="Freight_and_Trend"/>
      <sheetName val="Delivery_Analysis"/>
      <sheetName val="Payment_Analysis"/>
      <sheetName val="Review_Analysis"/>
      <sheetName val="Advanced_Analytics"/>
    </sheetNames>
    <sheetDataSet>
      <sheetData sheetId="0">
        <row r="16">
          <cell r="D16">
            <v>143.46</v>
          </cell>
        </row>
      </sheetData>
      <sheetData sheetId="1"/>
      <sheetData sheetId="2"/>
      <sheetData sheetId="3"/>
      <sheetData sheetId="4">
        <row r="13">
          <cell r="F13">
            <v>2801</v>
          </cell>
          <cell r="G13">
            <v>93358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C6">
            <v>12.6</v>
          </cell>
        </row>
      </sheetData>
      <sheetData sheetId="12"/>
      <sheetData sheetId="13">
        <row r="15">
          <cell r="C15">
            <v>4.09</v>
          </cell>
        </row>
      </sheetData>
      <sheetData sheetId="14"/>
    </sheetDataSet>
  </externalBook>
</externalLink>
</file>

<file path=xl/tables/table1.xml><?xml version="1.0" encoding="utf-8"?>
<table xmlns="http://schemas.openxmlformats.org/spreadsheetml/2006/main" id="2" name="Таблица13" displayName="Таблица13" ref="J5:L10" totalsRowShown="0" headerRowDxfId="8" headerRowBorderDxfId="6" tableBorderDxfId="7" totalsRowBorderDxfId="5">
  <autoFilter ref="J5:L10"/>
  <tableColumns count="3">
    <tableColumn id="1" name="Столбец1" dataDxfId="4"/>
    <tableColumn id="3" name="Столбец2" dataDxfId="3"/>
    <tableColumn id="4" name="Revenue (R$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showGridLines="0" tabSelected="1" zoomScale="50" zoomScaleNormal="50" workbookViewId="0">
      <pane ySplit="5" topLeftCell="A6" activePane="bottomLeft" state="frozen"/>
      <selection pane="bottomLeft" activeCell="AK40" sqref="AK40"/>
    </sheetView>
  </sheetViews>
  <sheetFormatPr defaultRowHeight="14.4" x14ac:dyDescent="0.3"/>
  <cols>
    <col min="1" max="1" width="0.77734375" customWidth="1"/>
    <col min="2" max="2" width="12" customWidth="1"/>
    <col min="3" max="3" width="13.109375" customWidth="1"/>
    <col min="4" max="4" width="22" customWidth="1"/>
    <col min="5" max="5" width="14" hidden="1" customWidth="1"/>
    <col min="6" max="6" width="10.109375" customWidth="1"/>
    <col min="7" max="7" width="15" customWidth="1"/>
    <col min="8" max="8" width="10.6640625" customWidth="1"/>
    <col min="9" max="9" width="0.21875" hidden="1" customWidth="1"/>
    <col min="10" max="10" width="13.77734375" customWidth="1"/>
    <col min="11" max="11" width="9.44140625" customWidth="1"/>
    <col min="12" max="12" width="18.109375" customWidth="1"/>
    <col min="13" max="13" width="2" hidden="1" customWidth="1"/>
    <col min="14" max="14" width="14.33203125" customWidth="1"/>
    <col min="15" max="15" width="12.88671875" customWidth="1"/>
    <col min="16" max="16" width="11.44140625" customWidth="1"/>
    <col min="17" max="17" width="1.21875" hidden="1" customWidth="1"/>
    <col min="18" max="18" width="17.109375" customWidth="1"/>
    <col min="19" max="19" width="12.109375" customWidth="1"/>
    <col min="20" max="20" width="20.21875" customWidth="1"/>
    <col min="21" max="21" width="10.77734375" customWidth="1"/>
    <col min="22" max="22" width="7.88671875" customWidth="1"/>
    <col min="23" max="23" width="17.88671875" customWidth="1"/>
    <col min="24" max="24" width="16.44140625" customWidth="1"/>
    <col min="25" max="25" width="30.33203125" customWidth="1"/>
    <col min="26" max="26" width="8.6640625"/>
    <col min="27" max="27" width="8.6640625" customWidth="1"/>
    <col min="28" max="28" width="6.77734375" customWidth="1"/>
    <col min="29" max="29" width="8.6640625" hidden="1" customWidth="1"/>
    <col min="30" max="30" width="8.6640625"/>
    <col min="31" max="31" width="10.88671875" customWidth="1"/>
    <col min="32" max="32" width="24.21875" customWidth="1"/>
    <col min="33" max="33" width="16.5546875" bestFit="1" customWidth="1"/>
    <col min="34" max="39" width="8.6640625"/>
    <col min="40" max="40" width="16.5546875" customWidth="1"/>
    <col min="41" max="41" width="20.33203125" customWidth="1"/>
  </cols>
  <sheetData>
    <row r="1" spans="1:32" ht="58.8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15" hidden="1" thickBot="1" x14ac:dyDescent="0.3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32" ht="15" hidden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2" ht="24.6" hidden="1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32" ht="39" hidden="1" customHeight="1" x14ac:dyDescent="0.3"/>
    <row r="6" spans="1:32" ht="37.200000000000003" customHeight="1" x14ac:dyDescent="0.3">
      <c r="B6" s="38" t="s">
        <v>349</v>
      </c>
      <c r="C6" s="38"/>
      <c r="D6" s="38"/>
      <c r="E6" s="38"/>
      <c r="F6" s="33"/>
      <c r="G6" s="39" t="s">
        <v>348</v>
      </c>
      <c r="H6" s="39"/>
      <c r="I6" s="39"/>
      <c r="J6" s="39"/>
      <c r="K6" s="33"/>
      <c r="L6" s="38" t="s">
        <v>347</v>
      </c>
      <c r="M6" s="38"/>
      <c r="N6" s="38"/>
      <c r="O6" s="38"/>
      <c r="R6" s="39" t="s">
        <v>346</v>
      </c>
      <c r="S6" s="39"/>
      <c r="T6" s="39"/>
      <c r="U6" s="39"/>
      <c r="V6" s="33"/>
      <c r="W6" s="38" t="s">
        <v>345</v>
      </c>
      <c r="X6" s="38"/>
      <c r="Y6" s="38"/>
      <c r="Z6" s="38"/>
      <c r="AA6" s="33"/>
      <c r="AB6" s="43" t="s">
        <v>344</v>
      </c>
      <c r="AC6" s="43"/>
      <c r="AD6" s="43"/>
      <c r="AE6" s="43"/>
      <c r="AF6" s="43"/>
    </row>
    <row r="7" spans="1:32" ht="14.4" customHeight="1" x14ac:dyDescent="0.3">
      <c r="B7" s="36" t="s">
        <v>354</v>
      </c>
      <c r="C7" s="36"/>
      <c r="D7" s="36"/>
      <c r="E7" s="36"/>
      <c r="F7" s="33"/>
      <c r="G7" s="37" t="s">
        <v>355</v>
      </c>
      <c r="H7" s="37"/>
      <c r="I7" s="37"/>
      <c r="J7" s="37"/>
      <c r="K7" s="33"/>
      <c r="L7" s="36" t="s">
        <v>356</v>
      </c>
      <c r="M7" s="36"/>
      <c r="N7" s="36"/>
      <c r="O7" s="36"/>
      <c r="R7" s="40">
        <v>134.80000000000001</v>
      </c>
      <c r="S7" s="40"/>
      <c r="T7" s="40"/>
      <c r="U7" s="40"/>
      <c r="V7" s="33"/>
      <c r="W7" s="41">
        <f>[1]Review_Analysis!$C$15</f>
        <v>4.09</v>
      </c>
      <c r="X7" s="41"/>
      <c r="Y7" s="41"/>
      <c r="Z7" s="41"/>
      <c r="AA7" s="33"/>
      <c r="AB7" s="44">
        <f>[1]Customer_Segments!$F$13/[1]Customer_Segments!$G$13</f>
        <v>3.0002784978255748E-2</v>
      </c>
      <c r="AC7" s="44"/>
      <c r="AD7" s="44"/>
      <c r="AE7" s="44"/>
      <c r="AF7" s="44"/>
    </row>
    <row r="8" spans="1:32" ht="42.6" customHeight="1" x14ac:dyDescent="0.3">
      <c r="B8" s="36"/>
      <c r="C8" s="36"/>
      <c r="D8" s="36"/>
      <c r="E8" s="36"/>
      <c r="F8" s="33"/>
      <c r="G8" s="37"/>
      <c r="H8" s="37"/>
      <c r="I8" s="37"/>
      <c r="J8" s="37"/>
      <c r="K8" s="33"/>
      <c r="L8" s="36"/>
      <c r="M8" s="36"/>
      <c r="N8" s="36"/>
      <c r="O8" s="36"/>
      <c r="R8" s="40"/>
      <c r="S8" s="40"/>
      <c r="T8" s="40"/>
      <c r="U8" s="40"/>
      <c r="V8" s="33"/>
      <c r="W8" s="41"/>
      <c r="X8" s="41"/>
      <c r="Y8" s="41"/>
      <c r="Z8" s="41"/>
      <c r="AA8" s="33"/>
      <c r="AB8" s="44"/>
      <c r="AC8" s="44"/>
      <c r="AD8" s="44"/>
      <c r="AE8" s="44"/>
      <c r="AF8" s="44"/>
    </row>
    <row r="9" spans="1:32" ht="21" customHeight="1" x14ac:dyDescent="0.3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U9" s="31"/>
    </row>
    <row r="10" spans="1:32" ht="18" customHeight="1" x14ac:dyDescent="0.3">
      <c r="B10" s="38" t="s">
        <v>353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32" ht="37.200000000000003" customHeight="1" x14ac:dyDescent="0.3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32" ht="36" customHeight="1" x14ac:dyDescent="0.3"/>
    <row r="13" spans="1:32" ht="43.8" customHeight="1" x14ac:dyDescent="0.3"/>
    <row r="14" spans="1:32" ht="31.8" customHeight="1" x14ac:dyDescent="0.3"/>
    <row r="15" spans="1:32" ht="25.8" customHeight="1" x14ac:dyDescent="0.3"/>
    <row r="16" spans="1:32" ht="37.200000000000003" customHeight="1" x14ac:dyDescent="0.3"/>
    <row r="17" spans="16:32" ht="46.2" customHeight="1" x14ac:dyDescent="0.3"/>
    <row r="22" spans="16:32" ht="58.2" customHeight="1" x14ac:dyDescent="0.3">
      <c r="AB22" s="47" t="s">
        <v>350</v>
      </c>
      <c r="AC22" s="47"/>
      <c r="AD22" s="47"/>
      <c r="AE22" s="47"/>
      <c r="AF22" s="47"/>
    </row>
    <row r="23" spans="16:32" ht="17.399999999999999" x14ac:dyDescent="0.3">
      <c r="P23" s="31"/>
      <c r="Q23" s="31"/>
      <c r="R23" s="31"/>
      <c r="AB23" s="47"/>
      <c r="AC23" s="47"/>
      <c r="AD23" s="47"/>
      <c r="AE23" s="47"/>
      <c r="AF23" s="47"/>
    </row>
    <row r="24" spans="16:32" x14ac:dyDescent="0.3">
      <c r="AB24" s="47"/>
      <c r="AC24" s="47"/>
      <c r="AD24" s="47"/>
      <c r="AE24" s="47"/>
      <c r="AF24" s="47"/>
    </row>
    <row r="25" spans="16:32" x14ac:dyDescent="0.3">
      <c r="AB25" s="47"/>
      <c r="AC25" s="47"/>
      <c r="AD25" s="47"/>
      <c r="AE25" s="47"/>
      <c r="AF25" s="47"/>
    </row>
    <row r="26" spans="16:32" x14ac:dyDescent="0.3">
      <c r="AB26" s="48" t="s">
        <v>351</v>
      </c>
      <c r="AC26" s="48"/>
      <c r="AD26" s="48"/>
      <c r="AE26" s="48"/>
      <c r="AF26" s="48"/>
    </row>
    <row r="27" spans="16:32" ht="14.4" customHeight="1" x14ac:dyDescent="0.3">
      <c r="AB27" s="48"/>
      <c r="AC27" s="48"/>
      <c r="AD27" s="48"/>
      <c r="AE27" s="48"/>
      <c r="AF27" s="48"/>
    </row>
    <row r="28" spans="16:32" ht="19.5" customHeight="1" x14ac:dyDescent="0.3">
      <c r="AB28" s="46">
        <v>95</v>
      </c>
      <c r="AC28" s="46"/>
      <c r="AD28" s="46"/>
      <c r="AE28" s="46"/>
      <c r="AF28" s="46"/>
    </row>
    <row r="29" spans="16:32" ht="30" customHeight="1" x14ac:dyDescent="0.3">
      <c r="AB29" s="46"/>
      <c r="AC29" s="46"/>
      <c r="AD29" s="46"/>
      <c r="AE29" s="46"/>
      <c r="AF29" s="46"/>
    </row>
    <row r="30" spans="16:32" x14ac:dyDescent="0.3">
      <c r="AB30" s="46"/>
      <c r="AC30" s="46"/>
      <c r="AD30" s="46"/>
      <c r="AE30" s="46"/>
      <c r="AF30" s="46"/>
    </row>
    <row r="31" spans="16:32" x14ac:dyDescent="0.3">
      <c r="AB31" s="46"/>
      <c r="AC31" s="46"/>
      <c r="AD31" s="46"/>
      <c r="AE31" s="46"/>
      <c r="AF31" s="46"/>
    </row>
    <row r="32" spans="16:32" x14ac:dyDescent="0.3">
      <c r="AB32" s="49" t="s">
        <v>352</v>
      </c>
      <c r="AC32" s="49"/>
      <c r="AD32" s="49"/>
      <c r="AE32" s="49"/>
      <c r="AF32" s="49"/>
    </row>
    <row r="33" spans="2:37" x14ac:dyDescent="0.3">
      <c r="AB33" s="49"/>
      <c r="AC33" s="49"/>
      <c r="AD33" s="49"/>
      <c r="AE33" s="49"/>
      <c r="AF33" s="49"/>
    </row>
    <row r="34" spans="2:37" ht="14.4" customHeight="1" x14ac:dyDescent="0.3">
      <c r="AB34" s="45">
        <v>12</v>
      </c>
      <c r="AC34" s="45"/>
      <c r="AD34" s="45"/>
      <c r="AE34" s="45"/>
      <c r="AF34" s="45"/>
    </row>
    <row r="35" spans="2:37" ht="14.4" customHeight="1" x14ac:dyDescent="0.3">
      <c r="AB35" s="45"/>
      <c r="AC35" s="45"/>
      <c r="AD35" s="45"/>
      <c r="AE35" s="45"/>
      <c r="AF35" s="45"/>
    </row>
    <row r="36" spans="2:37" ht="23.4" customHeight="1" x14ac:dyDescent="0.3">
      <c r="AB36" s="45"/>
      <c r="AC36" s="45"/>
      <c r="AD36" s="45"/>
      <c r="AE36" s="45"/>
      <c r="AF36" s="45"/>
    </row>
    <row r="37" spans="2:37" ht="23.4" customHeight="1" x14ac:dyDescent="0.3">
      <c r="AB37" s="45"/>
      <c r="AC37" s="45"/>
      <c r="AD37" s="45"/>
      <c r="AE37" s="45"/>
      <c r="AF37" s="45"/>
    </row>
    <row r="40" spans="2:37" ht="19.5" customHeight="1" x14ac:dyDescent="0.3">
      <c r="AK40" t="s">
        <v>358</v>
      </c>
    </row>
    <row r="41" spans="2:37" ht="55.2" customHeight="1" x14ac:dyDescent="0.3"/>
    <row r="42" spans="2:37" ht="18" x14ac:dyDescent="0.35">
      <c r="B42" s="32"/>
      <c r="C42" s="32"/>
    </row>
  </sheetData>
  <mergeCells count="20">
    <mergeCell ref="AB34:AF37"/>
    <mergeCell ref="AB28:AF31"/>
    <mergeCell ref="AB22:AF25"/>
    <mergeCell ref="AB26:AF27"/>
    <mergeCell ref="B10:N10"/>
    <mergeCell ref="AB32:AF33"/>
    <mergeCell ref="A1:AF1"/>
    <mergeCell ref="B7:E8"/>
    <mergeCell ref="G7:J8"/>
    <mergeCell ref="L7:O8"/>
    <mergeCell ref="B6:E6"/>
    <mergeCell ref="G6:J6"/>
    <mergeCell ref="L6:O6"/>
    <mergeCell ref="R7:U8"/>
    <mergeCell ref="W7:Z8"/>
    <mergeCell ref="A2:P2"/>
    <mergeCell ref="R6:U6"/>
    <mergeCell ref="W6:Z6"/>
    <mergeCell ref="AB6:AF6"/>
    <mergeCell ref="AB7:AF8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showGridLines="0" zoomScale="70" zoomScaleNormal="70" workbookViewId="0">
      <selection activeCell="J29" sqref="J29"/>
    </sheetView>
  </sheetViews>
  <sheetFormatPr defaultColWidth="8.6640625" defaultRowHeight="14.4" x14ac:dyDescent="0.3"/>
  <cols>
    <col min="1" max="1" width="3" customWidth="1"/>
    <col min="2" max="2" width="26" customWidth="1"/>
    <col min="3" max="3" width="16" customWidth="1"/>
    <col min="4" max="4" width="4" customWidth="1"/>
    <col min="5" max="5" width="26" customWidth="1"/>
    <col min="6" max="7" width="16" customWidth="1"/>
    <col min="8" max="8" width="14.109375" customWidth="1"/>
    <col min="9" max="9" width="13.21875" customWidth="1"/>
    <col min="10" max="10" width="14.5546875" customWidth="1"/>
    <col min="11" max="11" width="13" customWidth="1"/>
    <col min="12" max="12" width="11.88671875" customWidth="1"/>
    <col min="13" max="13" width="11.5546875" customWidth="1"/>
    <col min="14" max="14" width="12" customWidth="1"/>
    <col min="15" max="15" width="12.5546875" customWidth="1"/>
  </cols>
  <sheetData>
    <row r="1" spans="1:26" ht="27.75" customHeight="1" x14ac:dyDescent="0.3">
      <c r="A1" s="56" t="s">
        <v>47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26" x14ac:dyDescent="0.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4" spans="1:26" ht="19.5" customHeight="1" x14ac:dyDescent="0.3">
      <c r="B4" s="50" t="s">
        <v>48</v>
      </c>
      <c r="C4" s="50"/>
      <c r="E4" s="2" t="s">
        <v>1</v>
      </c>
      <c r="F4" s="2" t="s">
        <v>2</v>
      </c>
      <c r="G4" s="2" t="s">
        <v>3</v>
      </c>
      <c r="H4" s="2" t="s">
        <v>4</v>
      </c>
      <c r="P4" s="59"/>
      <c r="T4" s="59"/>
      <c r="U4" s="59"/>
      <c r="V4" s="59"/>
      <c r="W4" s="59"/>
      <c r="X4" s="59"/>
      <c r="Y4" s="59"/>
      <c r="Z4" s="59"/>
    </row>
    <row r="5" spans="1:26" ht="30" customHeight="1" x14ac:dyDescent="0.3">
      <c r="B5" s="2" t="s">
        <v>49</v>
      </c>
      <c r="C5" s="2" t="s">
        <v>50</v>
      </c>
      <c r="E5" s="3" t="s">
        <v>5</v>
      </c>
      <c r="F5" s="4">
        <v>1</v>
      </c>
      <c r="G5" s="5">
        <v>143.46</v>
      </c>
      <c r="H5" s="6"/>
    </row>
    <row r="6" spans="1:26" x14ac:dyDescent="0.3">
      <c r="B6" s="3" t="s">
        <v>51</v>
      </c>
      <c r="C6" s="5">
        <v>99441</v>
      </c>
      <c r="E6" s="7" t="s">
        <v>6</v>
      </c>
      <c r="F6" s="8">
        <v>265</v>
      </c>
      <c r="G6" s="9">
        <v>46490.66</v>
      </c>
      <c r="H6" s="10">
        <v>32306.71</v>
      </c>
    </row>
    <row r="7" spans="1:26" x14ac:dyDescent="0.3">
      <c r="B7" s="7" t="s">
        <v>52</v>
      </c>
      <c r="C7" s="9">
        <v>112650</v>
      </c>
      <c r="E7" s="3" t="s">
        <v>7</v>
      </c>
      <c r="F7" s="4">
        <v>1</v>
      </c>
      <c r="G7" s="5">
        <v>19.62</v>
      </c>
      <c r="H7" s="6">
        <v>-99.96</v>
      </c>
    </row>
    <row r="8" spans="1:26" x14ac:dyDescent="0.3">
      <c r="B8" s="3" t="s">
        <v>53</v>
      </c>
      <c r="C8" s="5">
        <v>103886</v>
      </c>
      <c r="E8" s="7" t="s">
        <v>8</v>
      </c>
      <c r="F8" s="8">
        <v>750</v>
      </c>
      <c r="G8" s="9">
        <v>127482.37</v>
      </c>
      <c r="H8" s="10">
        <v>649657.24</v>
      </c>
    </row>
    <row r="9" spans="1:26" ht="14.4" customHeight="1" x14ac:dyDescent="0.3">
      <c r="B9" s="7" t="s">
        <v>54</v>
      </c>
      <c r="C9" s="9">
        <v>99224</v>
      </c>
      <c r="E9" s="3" t="s">
        <v>9</v>
      </c>
      <c r="F9" s="4">
        <v>1653</v>
      </c>
      <c r="G9" s="5">
        <v>271239.32</v>
      </c>
      <c r="H9" s="6">
        <v>112.77</v>
      </c>
    </row>
    <row r="10" spans="1:26" ht="14.4" customHeight="1" x14ac:dyDescent="0.3">
      <c r="B10" s="3" t="s">
        <v>55</v>
      </c>
      <c r="C10" s="5">
        <v>99441</v>
      </c>
      <c r="E10" s="7" t="s">
        <v>10</v>
      </c>
      <c r="F10" s="8">
        <v>2546</v>
      </c>
      <c r="G10" s="9">
        <v>414330.95</v>
      </c>
      <c r="H10" s="10">
        <v>52.75</v>
      </c>
    </row>
    <row r="11" spans="1:26" x14ac:dyDescent="0.3">
      <c r="B11" s="7" t="s">
        <v>56</v>
      </c>
      <c r="C11" s="9">
        <v>3095</v>
      </c>
      <c r="E11" s="3" t="s">
        <v>11</v>
      </c>
      <c r="F11" s="4">
        <v>2303</v>
      </c>
      <c r="G11" s="5">
        <v>390812.4</v>
      </c>
      <c r="H11" s="6">
        <v>-5.68</v>
      </c>
    </row>
    <row r="12" spans="1:26" x14ac:dyDescent="0.3">
      <c r="B12" s="3" t="s">
        <v>57</v>
      </c>
      <c r="C12" s="5">
        <v>32951</v>
      </c>
      <c r="E12" s="7" t="s">
        <v>12</v>
      </c>
      <c r="F12" s="8">
        <v>3546</v>
      </c>
      <c r="G12" s="9">
        <v>566851.4</v>
      </c>
      <c r="H12" s="10">
        <v>45.04</v>
      </c>
    </row>
    <row r="13" spans="1:26" x14ac:dyDescent="0.3">
      <c r="B13" s="7" t="s">
        <v>58</v>
      </c>
      <c r="C13" s="9">
        <v>71</v>
      </c>
      <c r="E13" s="3" t="s">
        <v>13</v>
      </c>
      <c r="F13" s="4">
        <v>3135</v>
      </c>
      <c r="G13" s="5">
        <v>490050.37</v>
      </c>
      <c r="H13" s="6">
        <v>-13.55</v>
      </c>
    </row>
    <row r="14" spans="1:26" x14ac:dyDescent="0.3">
      <c r="E14" s="7" t="s">
        <v>14</v>
      </c>
      <c r="F14" s="8">
        <v>3872</v>
      </c>
      <c r="G14" s="9">
        <v>566299.07999999996</v>
      </c>
      <c r="H14" s="10">
        <v>15.56</v>
      </c>
      <c r="K14" s="52"/>
      <c r="L14" s="52"/>
      <c r="M14" s="52"/>
    </row>
    <row r="15" spans="1:26" x14ac:dyDescent="0.3">
      <c r="E15" s="3" t="s">
        <v>15</v>
      </c>
      <c r="F15" s="4">
        <v>4193</v>
      </c>
      <c r="G15" s="5">
        <v>645832.36</v>
      </c>
      <c r="H15" s="6">
        <v>14.04</v>
      </c>
      <c r="K15" s="52"/>
      <c r="L15" s="52"/>
      <c r="M15" s="52"/>
    </row>
    <row r="16" spans="1:26" ht="19.5" customHeight="1" x14ac:dyDescent="0.3">
      <c r="B16" s="50" t="s">
        <v>59</v>
      </c>
      <c r="C16" s="50"/>
      <c r="E16" s="7" t="s">
        <v>16</v>
      </c>
      <c r="F16" s="8">
        <v>4150</v>
      </c>
      <c r="G16" s="9">
        <v>701077.49</v>
      </c>
      <c r="H16" s="10">
        <v>8.5500000000000007</v>
      </c>
    </row>
    <row r="17" spans="2:24" ht="30" customHeight="1" x14ac:dyDescent="0.3">
      <c r="B17" s="2" t="s">
        <v>60</v>
      </c>
      <c r="C17" s="2" t="s">
        <v>61</v>
      </c>
      <c r="E17" s="3" t="s">
        <v>17</v>
      </c>
      <c r="F17" s="4">
        <v>4478</v>
      </c>
      <c r="G17" s="5">
        <v>751117.01</v>
      </c>
      <c r="H17" s="6">
        <v>7.14</v>
      </c>
    </row>
    <row r="18" spans="2:24" ht="16.8" x14ac:dyDescent="0.3">
      <c r="B18" s="3" t="s">
        <v>62</v>
      </c>
      <c r="C18" s="4" t="s">
        <v>63</v>
      </c>
      <c r="E18" s="7" t="s">
        <v>18</v>
      </c>
      <c r="F18" s="8">
        <v>7289</v>
      </c>
      <c r="G18" s="9">
        <v>1153364.2</v>
      </c>
      <c r="H18" s="10">
        <v>53.55</v>
      </c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5"/>
    </row>
    <row r="19" spans="2:24" x14ac:dyDescent="0.3">
      <c r="B19" s="7" t="s">
        <v>64</v>
      </c>
      <c r="C19" s="8" t="s">
        <v>63</v>
      </c>
      <c r="E19" s="3" t="s">
        <v>19</v>
      </c>
      <c r="F19" s="4">
        <v>5513</v>
      </c>
      <c r="G19" s="5">
        <v>843078.29</v>
      </c>
      <c r="H19" s="6">
        <v>-26.9</v>
      </c>
    </row>
    <row r="20" spans="2:24" x14ac:dyDescent="0.3">
      <c r="B20" s="3" t="s">
        <v>65</v>
      </c>
      <c r="C20" s="4" t="s">
        <v>63</v>
      </c>
      <c r="E20" s="7" t="s">
        <v>20</v>
      </c>
      <c r="F20" s="8">
        <v>7069</v>
      </c>
      <c r="G20" s="9">
        <v>1077887.46</v>
      </c>
      <c r="H20" s="10">
        <v>27.85</v>
      </c>
    </row>
    <row r="21" spans="2:24" x14ac:dyDescent="0.3">
      <c r="E21" s="3" t="s">
        <v>21</v>
      </c>
      <c r="F21" s="4">
        <v>6555</v>
      </c>
      <c r="G21" s="5">
        <v>966168.41</v>
      </c>
      <c r="H21" s="6">
        <v>-10.36</v>
      </c>
    </row>
    <row r="22" spans="2:24" x14ac:dyDescent="0.3">
      <c r="E22" s="7" t="s">
        <v>22</v>
      </c>
      <c r="F22" s="8">
        <v>7003</v>
      </c>
      <c r="G22" s="9">
        <v>1120598.24</v>
      </c>
      <c r="H22" s="10">
        <v>15.98</v>
      </c>
    </row>
    <row r="23" spans="2:24" x14ac:dyDescent="0.3">
      <c r="B23" s="13"/>
      <c r="E23" s="3" t="s">
        <v>23</v>
      </c>
      <c r="F23" s="4">
        <v>6798</v>
      </c>
      <c r="G23" s="5">
        <v>1132878.93</v>
      </c>
      <c r="H23" s="6">
        <v>1.1000000000000001</v>
      </c>
    </row>
    <row r="24" spans="2:24" x14ac:dyDescent="0.3">
      <c r="E24" s="7" t="s">
        <v>24</v>
      </c>
      <c r="F24" s="8">
        <v>6749</v>
      </c>
      <c r="G24" s="9">
        <v>1128774.52</v>
      </c>
      <c r="H24" s="10">
        <v>-0.36</v>
      </c>
    </row>
    <row r="25" spans="2:24" x14ac:dyDescent="0.3">
      <c r="E25" s="3" t="s">
        <v>25</v>
      </c>
      <c r="F25" s="4">
        <v>6099</v>
      </c>
      <c r="G25" s="5">
        <v>1011978.29</v>
      </c>
      <c r="H25" s="6">
        <v>-10.35</v>
      </c>
    </row>
    <row r="26" spans="2:24" x14ac:dyDescent="0.3">
      <c r="E26" s="7" t="s">
        <v>26</v>
      </c>
      <c r="F26" s="8">
        <v>6159</v>
      </c>
      <c r="G26" s="9">
        <v>1027807.28</v>
      </c>
      <c r="H26" s="10">
        <v>1.56</v>
      </c>
    </row>
    <row r="27" spans="2:24" x14ac:dyDescent="0.3">
      <c r="E27" s="3" t="s">
        <v>27</v>
      </c>
      <c r="F27" s="4">
        <v>6351</v>
      </c>
      <c r="G27" s="5">
        <v>985491.64</v>
      </c>
      <c r="H27" s="6">
        <v>-4.12</v>
      </c>
    </row>
  </sheetData>
  <mergeCells count="4">
    <mergeCell ref="B4:C4"/>
    <mergeCell ref="B16:C16"/>
    <mergeCell ref="K14:M15"/>
    <mergeCell ref="A1:M2"/>
  </mergeCells>
  <conditionalFormatting sqref="C18:C20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zoomScale="90" zoomScaleNormal="90" workbookViewId="0">
      <selection activeCell="D16" sqref="D16"/>
    </sheetView>
  </sheetViews>
  <sheetFormatPr defaultColWidth="8.6640625" defaultRowHeight="14.4" x14ac:dyDescent="0.3"/>
  <cols>
    <col min="1" max="1" width="3" customWidth="1"/>
    <col min="2" max="2" width="10" customWidth="1"/>
    <col min="3" max="3" width="15.109375" customWidth="1"/>
    <col min="4" max="4" width="10" customWidth="1"/>
    <col min="5" max="5" width="14" customWidth="1"/>
    <col min="6" max="6" width="12" customWidth="1"/>
    <col min="7" max="7" width="3" customWidth="1"/>
    <col min="8" max="9" width="12" customWidth="1"/>
    <col min="10" max="10" width="3" customWidth="1"/>
    <col min="11" max="11" width="16" customWidth="1"/>
    <col min="12" max="12" width="12" customWidth="1"/>
    <col min="13" max="14" width="3" customWidth="1"/>
    <col min="18" max="18" width="16.5546875" customWidth="1"/>
    <col min="19" max="19" width="17.21875" customWidth="1"/>
  </cols>
  <sheetData>
    <row r="1" spans="1:24" ht="27.75" customHeight="1" x14ac:dyDescent="0.3">
      <c r="A1" s="56" t="s">
        <v>66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24" x14ac:dyDescent="0.3">
      <c r="A2" s="42" t="s">
        <v>67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1:24" ht="19.5" customHeight="1" x14ac:dyDescent="0.3">
      <c r="B4" s="50" t="s">
        <v>68</v>
      </c>
      <c r="C4" s="50"/>
      <c r="D4" s="50"/>
      <c r="E4" s="50"/>
      <c r="F4" s="50"/>
      <c r="R4" s="54" t="s">
        <v>88</v>
      </c>
      <c r="S4" s="54"/>
    </row>
    <row r="5" spans="1:24" ht="30" customHeight="1" x14ac:dyDescent="0.3">
      <c r="B5" s="2" t="s">
        <v>69</v>
      </c>
      <c r="C5" s="2" t="s">
        <v>70</v>
      </c>
      <c r="D5" s="2" t="s">
        <v>2</v>
      </c>
      <c r="E5" s="2" t="s">
        <v>3</v>
      </c>
      <c r="F5" s="2" t="s">
        <v>71</v>
      </c>
      <c r="R5" s="2" t="s">
        <v>89</v>
      </c>
      <c r="S5" s="2" t="s">
        <v>2</v>
      </c>
    </row>
    <row r="6" spans="1:24" x14ac:dyDescent="0.3">
      <c r="B6" s="3" t="s">
        <v>72</v>
      </c>
      <c r="C6" s="4" t="s">
        <v>73</v>
      </c>
      <c r="D6" s="4">
        <v>1</v>
      </c>
      <c r="E6" s="5">
        <v>143.46</v>
      </c>
      <c r="F6" s="11">
        <v>143.46</v>
      </c>
      <c r="R6" s="3">
        <v>0</v>
      </c>
      <c r="S6" s="5">
        <v>2321</v>
      </c>
    </row>
    <row r="7" spans="1:24" x14ac:dyDescent="0.3">
      <c r="B7" s="7" t="s">
        <v>72</v>
      </c>
      <c r="C7" s="8" t="s">
        <v>74</v>
      </c>
      <c r="D7" s="8">
        <v>266</v>
      </c>
      <c r="E7" s="9">
        <v>46510.28</v>
      </c>
      <c r="F7" s="12">
        <v>174.85</v>
      </c>
      <c r="R7" s="7">
        <v>1</v>
      </c>
      <c r="S7" s="9">
        <v>1133</v>
      </c>
    </row>
    <row r="8" spans="1:24" ht="24" customHeight="1" x14ac:dyDescent="0.3">
      <c r="B8" s="3" t="s">
        <v>75</v>
      </c>
      <c r="C8" s="4" t="s">
        <v>76</v>
      </c>
      <c r="D8" s="4">
        <v>4949</v>
      </c>
      <c r="E8" s="5">
        <v>813052.64</v>
      </c>
      <c r="F8" s="11">
        <v>164.29</v>
      </c>
      <c r="R8" s="3">
        <v>2</v>
      </c>
      <c r="S8" s="5">
        <v>496</v>
      </c>
      <c r="X8" s="34"/>
    </row>
    <row r="9" spans="1:24" ht="14.4" customHeight="1" x14ac:dyDescent="0.3">
      <c r="B9" s="7" t="s">
        <v>75</v>
      </c>
      <c r="C9" s="8" t="s">
        <v>77</v>
      </c>
      <c r="D9" s="8">
        <v>8984</v>
      </c>
      <c r="E9" s="9">
        <v>1447714.17</v>
      </c>
      <c r="F9" s="12">
        <v>161.13999999999999</v>
      </c>
      <c r="R9" s="7">
        <v>3</v>
      </c>
      <c r="S9" s="9">
        <v>259</v>
      </c>
      <c r="X9" s="34"/>
    </row>
    <row r="10" spans="1:24" ht="14.4" customHeight="1" x14ac:dyDescent="0.3">
      <c r="B10" s="3" t="s">
        <v>75</v>
      </c>
      <c r="C10" s="4" t="s">
        <v>73</v>
      </c>
      <c r="D10" s="4">
        <v>12215</v>
      </c>
      <c r="E10" s="5">
        <v>1913208.93</v>
      </c>
      <c r="F10" s="11">
        <v>156.63</v>
      </c>
      <c r="R10" s="3">
        <v>4</v>
      </c>
      <c r="S10" s="5">
        <v>203</v>
      </c>
      <c r="X10" s="34"/>
    </row>
    <row r="11" spans="1:24" ht="14.4" customHeight="1" x14ac:dyDescent="0.3">
      <c r="B11" s="7" t="s">
        <v>75</v>
      </c>
      <c r="C11" s="8" t="s">
        <v>74</v>
      </c>
      <c r="D11" s="8">
        <v>17280</v>
      </c>
      <c r="E11" s="9">
        <v>2747559.5</v>
      </c>
      <c r="F11" s="12">
        <v>159</v>
      </c>
      <c r="R11" s="7">
        <v>5</v>
      </c>
      <c r="S11" s="9">
        <v>182</v>
      </c>
      <c r="X11" s="34"/>
    </row>
    <row r="12" spans="1:24" x14ac:dyDescent="0.3">
      <c r="B12" s="3" t="s">
        <v>78</v>
      </c>
      <c r="C12" s="4" t="s">
        <v>76</v>
      </c>
      <c r="D12" s="4">
        <v>20627</v>
      </c>
      <c r="E12" s="5">
        <v>3164654.11</v>
      </c>
      <c r="F12" s="11">
        <v>153.41999999999999</v>
      </c>
      <c r="R12" s="3">
        <v>6</v>
      </c>
      <c r="S12" s="5">
        <v>478</v>
      </c>
      <c r="X12" s="34"/>
    </row>
    <row r="13" spans="1:24" x14ac:dyDescent="0.3">
      <c r="B13" s="7" t="s">
        <v>78</v>
      </c>
      <c r="C13" s="8" t="s">
        <v>77</v>
      </c>
      <c r="D13" s="8">
        <v>19646</v>
      </c>
      <c r="E13" s="9">
        <v>3273631.74</v>
      </c>
      <c r="F13" s="12">
        <v>166.63</v>
      </c>
      <c r="R13" s="7">
        <v>7</v>
      </c>
      <c r="S13" s="9">
        <v>1199</v>
      </c>
      <c r="T13" s="34"/>
      <c r="U13" s="34"/>
      <c r="V13" s="34"/>
      <c r="W13" s="34"/>
      <c r="X13" s="34"/>
    </row>
    <row r="14" spans="1:24" x14ac:dyDescent="0.3">
      <c r="B14" s="3" t="s">
        <v>78</v>
      </c>
      <c r="C14" s="4" t="s">
        <v>73</v>
      </c>
      <c r="D14" s="4">
        <v>12510</v>
      </c>
      <c r="E14" s="5">
        <v>2013298.92</v>
      </c>
      <c r="F14" s="11">
        <v>160.94</v>
      </c>
      <c r="R14" s="3">
        <v>8</v>
      </c>
      <c r="S14" s="5">
        <v>2907</v>
      </c>
      <c r="X14" s="34"/>
    </row>
    <row r="15" spans="1:24" x14ac:dyDescent="0.3">
      <c r="E15" s="60"/>
      <c r="R15" s="7">
        <v>9</v>
      </c>
      <c r="S15" s="9">
        <v>4647</v>
      </c>
    </row>
    <row r="16" spans="1:24" x14ac:dyDescent="0.3">
      <c r="R16" s="3">
        <v>10</v>
      </c>
      <c r="S16" s="5">
        <v>5978</v>
      </c>
    </row>
    <row r="17" spans="2:19" ht="19.5" customHeight="1" x14ac:dyDescent="0.3">
      <c r="B17" s="53" t="s">
        <v>79</v>
      </c>
      <c r="C17" s="53"/>
      <c r="R17" s="7">
        <v>11</v>
      </c>
      <c r="S17" s="9">
        <v>6385</v>
      </c>
    </row>
    <row r="18" spans="2:19" ht="30" customHeight="1" x14ac:dyDescent="0.3">
      <c r="B18" s="2" t="s">
        <v>80</v>
      </c>
      <c r="C18" s="2" t="s">
        <v>2</v>
      </c>
      <c r="R18" s="3">
        <v>12</v>
      </c>
      <c r="S18" s="5">
        <v>5803</v>
      </c>
    </row>
    <row r="19" spans="2:19" x14ac:dyDescent="0.3">
      <c r="B19" s="3" t="s">
        <v>81</v>
      </c>
      <c r="C19" s="5">
        <v>11635</v>
      </c>
      <c r="R19" s="7">
        <v>13</v>
      </c>
      <c r="S19" s="9">
        <v>6309</v>
      </c>
    </row>
    <row r="20" spans="2:19" x14ac:dyDescent="0.3">
      <c r="B20" s="7" t="s">
        <v>82</v>
      </c>
      <c r="C20" s="9">
        <v>15701</v>
      </c>
      <c r="R20" s="3">
        <v>14</v>
      </c>
      <c r="S20" s="5">
        <v>6383</v>
      </c>
    </row>
    <row r="21" spans="2:19" x14ac:dyDescent="0.3">
      <c r="B21" s="3" t="s">
        <v>83</v>
      </c>
      <c r="C21" s="5">
        <v>15503</v>
      </c>
      <c r="R21" s="7">
        <v>15</v>
      </c>
      <c r="S21" s="9">
        <v>6249</v>
      </c>
    </row>
    <row r="22" spans="2:19" x14ac:dyDescent="0.3">
      <c r="B22" s="7" t="s">
        <v>84</v>
      </c>
      <c r="C22" s="9">
        <v>15076</v>
      </c>
      <c r="R22" s="3">
        <v>16</v>
      </c>
      <c r="S22" s="5">
        <v>6476</v>
      </c>
    </row>
    <row r="23" spans="2:19" x14ac:dyDescent="0.3">
      <c r="B23" s="3" t="s">
        <v>85</v>
      </c>
      <c r="C23" s="5">
        <v>14323</v>
      </c>
      <c r="R23" s="7">
        <v>17</v>
      </c>
      <c r="S23" s="9">
        <v>5963</v>
      </c>
    </row>
    <row r="24" spans="2:19" x14ac:dyDescent="0.3">
      <c r="B24" s="7" t="s">
        <v>86</v>
      </c>
      <c r="C24" s="9">
        <v>13685</v>
      </c>
      <c r="R24" s="3">
        <v>18</v>
      </c>
      <c r="S24" s="5">
        <v>5585</v>
      </c>
    </row>
    <row r="25" spans="2:19" x14ac:dyDescent="0.3">
      <c r="B25" s="3" t="s">
        <v>87</v>
      </c>
      <c r="C25" s="5">
        <v>10555</v>
      </c>
      <c r="R25" s="7">
        <v>19</v>
      </c>
      <c r="S25" s="9">
        <v>5801</v>
      </c>
    </row>
    <row r="26" spans="2:19" x14ac:dyDescent="0.3">
      <c r="R26" s="3">
        <v>20</v>
      </c>
      <c r="S26" s="5">
        <v>6007</v>
      </c>
    </row>
    <row r="27" spans="2:19" x14ac:dyDescent="0.3">
      <c r="R27" s="7">
        <v>21</v>
      </c>
      <c r="S27" s="9">
        <v>6040</v>
      </c>
    </row>
    <row r="28" spans="2:19" ht="19.5" customHeight="1" x14ac:dyDescent="0.3">
      <c r="R28" s="3">
        <v>22</v>
      </c>
      <c r="S28" s="5">
        <v>5659</v>
      </c>
    </row>
    <row r="29" spans="2:19" ht="30" customHeight="1" x14ac:dyDescent="0.3">
      <c r="R29" s="7">
        <v>23</v>
      </c>
      <c r="S29" s="9">
        <v>4015</v>
      </c>
    </row>
  </sheetData>
  <mergeCells count="5">
    <mergeCell ref="A2:N2"/>
    <mergeCell ref="B4:F4"/>
    <mergeCell ref="B17:C17"/>
    <mergeCell ref="R4:S4"/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opLeftCell="A7" zoomScale="90" zoomScaleNormal="90" workbookViewId="0">
      <selection activeCell="F16" sqref="F16"/>
    </sheetView>
  </sheetViews>
  <sheetFormatPr defaultColWidth="8.6640625" defaultRowHeight="14.4" x14ac:dyDescent="0.3"/>
  <cols>
    <col min="1" max="1" width="3" customWidth="1"/>
    <col min="2" max="2" width="10" customWidth="1"/>
    <col min="3" max="3" width="12" customWidth="1"/>
    <col min="4" max="4" width="16" customWidth="1"/>
    <col min="5" max="6" width="14" customWidth="1"/>
    <col min="7" max="7" width="3" customWidth="1"/>
    <col min="8" max="10" width="16" customWidth="1"/>
  </cols>
  <sheetData>
    <row r="1" spans="1:9" ht="27.75" customHeight="1" x14ac:dyDescent="0.3">
      <c r="A1" s="51" t="s">
        <v>90</v>
      </c>
      <c r="B1" s="51"/>
      <c r="C1" s="51"/>
      <c r="D1" s="51"/>
      <c r="E1" s="51"/>
      <c r="F1" s="51"/>
      <c r="G1" s="51"/>
      <c r="H1" s="51"/>
      <c r="I1" s="51"/>
    </row>
    <row r="2" spans="1:9" x14ac:dyDescent="0.3">
      <c r="A2" s="42" t="s">
        <v>91</v>
      </c>
      <c r="B2" s="42"/>
      <c r="C2" s="42"/>
      <c r="D2" s="42"/>
      <c r="E2" s="42"/>
      <c r="F2" s="42"/>
      <c r="G2" s="42"/>
      <c r="H2" s="42"/>
      <c r="I2" s="42"/>
    </row>
    <row r="4" spans="1:9" ht="19.5" customHeight="1" x14ac:dyDescent="0.3">
      <c r="B4" s="50" t="s">
        <v>92</v>
      </c>
      <c r="C4" s="50"/>
      <c r="D4" s="50"/>
      <c r="E4" s="50"/>
      <c r="F4" s="50"/>
    </row>
    <row r="5" spans="1:9" ht="30" customHeight="1" x14ac:dyDescent="0.3">
      <c r="B5" s="2" t="s">
        <v>93</v>
      </c>
      <c r="C5" s="2" t="s">
        <v>2</v>
      </c>
      <c r="D5" s="2" t="s">
        <v>3</v>
      </c>
      <c r="E5" s="2" t="s">
        <v>71</v>
      </c>
      <c r="F5" s="2" t="s">
        <v>94</v>
      </c>
    </row>
    <row r="6" spans="1:9" x14ac:dyDescent="0.3">
      <c r="B6" s="3" t="s">
        <v>95</v>
      </c>
      <c r="C6" s="4">
        <v>40501</v>
      </c>
      <c r="D6" s="5">
        <v>5769703.1500000004</v>
      </c>
      <c r="E6" s="11">
        <v>142.46</v>
      </c>
      <c r="F6" s="6">
        <v>37.42</v>
      </c>
    </row>
    <row r="7" spans="1:9" x14ac:dyDescent="0.3">
      <c r="B7" s="7" t="s">
        <v>96</v>
      </c>
      <c r="C7" s="8">
        <v>12350</v>
      </c>
      <c r="D7" s="9">
        <v>2055401.57</v>
      </c>
      <c r="E7" s="12">
        <v>166.43</v>
      </c>
      <c r="F7" s="10">
        <v>13.33</v>
      </c>
    </row>
    <row r="8" spans="1:9" x14ac:dyDescent="0.3">
      <c r="B8" s="3" t="s">
        <v>97</v>
      </c>
      <c r="C8" s="4">
        <v>11354</v>
      </c>
      <c r="D8" s="5">
        <v>1818891.67</v>
      </c>
      <c r="E8" s="11">
        <v>160.19999999999999</v>
      </c>
      <c r="F8" s="6">
        <v>11.8</v>
      </c>
    </row>
    <row r="9" spans="1:9" x14ac:dyDescent="0.3">
      <c r="B9" s="7" t="s">
        <v>98</v>
      </c>
      <c r="C9" s="8">
        <v>5345</v>
      </c>
      <c r="D9" s="9">
        <v>861472.79</v>
      </c>
      <c r="E9" s="12">
        <v>161.16999999999999</v>
      </c>
      <c r="F9" s="10">
        <v>5.59</v>
      </c>
    </row>
    <row r="10" spans="1:9" x14ac:dyDescent="0.3">
      <c r="B10" s="3" t="s">
        <v>99</v>
      </c>
      <c r="C10" s="4">
        <v>4923</v>
      </c>
      <c r="D10" s="5">
        <v>781708.80000000005</v>
      </c>
      <c r="E10" s="11">
        <v>158.79</v>
      </c>
      <c r="F10" s="6">
        <v>5.07</v>
      </c>
    </row>
    <row r="11" spans="1:9" x14ac:dyDescent="0.3">
      <c r="B11" s="7" t="s">
        <v>100</v>
      </c>
      <c r="C11" s="8">
        <v>3546</v>
      </c>
      <c r="D11" s="9">
        <v>595127.78</v>
      </c>
      <c r="E11" s="12">
        <v>167.83</v>
      </c>
      <c r="F11" s="10">
        <v>3.86</v>
      </c>
    </row>
    <row r="12" spans="1:9" x14ac:dyDescent="0.3">
      <c r="B12" s="3" t="s">
        <v>101</v>
      </c>
      <c r="C12" s="4">
        <v>3256</v>
      </c>
      <c r="D12" s="5">
        <v>591137.81000000006</v>
      </c>
      <c r="E12" s="11">
        <v>181.55</v>
      </c>
      <c r="F12" s="6">
        <v>3.83</v>
      </c>
    </row>
    <row r="13" spans="1:9" x14ac:dyDescent="0.3">
      <c r="B13" s="7" t="s">
        <v>102</v>
      </c>
      <c r="C13" s="8">
        <v>2080</v>
      </c>
      <c r="D13" s="9">
        <v>346123.35</v>
      </c>
      <c r="E13" s="12">
        <v>166.41</v>
      </c>
      <c r="F13" s="10">
        <v>2.2400000000000002</v>
      </c>
    </row>
    <row r="14" spans="1:9" x14ac:dyDescent="0.3">
      <c r="B14" s="3" t="s">
        <v>103</v>
      </c>
      <c r="C14" s="4">
        <v>1957</v>
      </c>
      <c r="D14" s="5">
        <v>334212.34999999998</v>
      </c>
      <c r="E14" s="11">
        <v>170.78</v>
      </c>
      <c r="F14" s="6">
        <v>2.17</v>
      </c>
    </row>
    <row r="15" spans="1:9" x14ac:dyDescent="0.3">
      <c r="B15" s="7" t="s">
        <v>104</v>
      </c>
      <c r="C15" s="8">
        <v>1995</v>
      </c>
      <c r="D15" s="9">
        <v>317657.93</v>
      </c>
      <c r="E15" s="12">
        <v>159.22999999999999</v>
      </c>
      <c r="F15" s="10">
        <v>2.06</v>
      </c>
    </row>
    <row r="16" spans="1:9" x14ac:dyDescent="0.3">
      <c r="B16" s="3" t="s">
        <v>105</v>
      </c>
      <c r="C16" s="4">
        <v>1593</v>
      </c>
      <c r="D16" s="5">
        <v>308972.05</v>
      </c>
      <c r="E16" s="11">
        <v>193.96</v>
      </c>
      <c r="F16" s="6">
        <v>2</v>
      </c>
    </row>
    <row r="17" spans="2:6" x14ac:dyDescent="0.3">
      <c r="B17" s="7" t="s">
        <v>106</v>
      </c>
      <c r="C17" s="8">
        <v>1279</v>
      </c>
      <c r="D17" s="9">
        <v>266436.77</v>
      </c>
      <c r="E17" s="12">
        <v>208.32</v>
      </c>
      <c r="F17" s="10">
        <v>1.73</v>
      </c>
    </row>
    <row r="18" spans="2:6" x14ac:dyDescent="0.3">
      <c r="B18" s="3" t="s">
        <v>107</v>
      </c>
      <c r="C18" s="4">
        <v>946</v>
      </c>
      <c r="D18" s="5">
        <v>212023.57</v>
      </c>
      <c r="E18" s="11">
        <v>224.13</v>
      </c>
      <c r="F18" s="6">
        <v>1.38</v>
      </c>
    </row>
    <row r="19" spans="2:6" x14ac:dyDescent="0.3">
      <c r="B19" s="7" t="s">
        <v>108</v>
      </c>
      <c r="C19" s="8">
        <v>886</v>
      </c>
      <c r="D19" s="9">
        <v>181224.42</v>
      </c>
      <c r="E19" s="12">
        <v>204.54</v>
      </c>
      <c r="F19" s="10">
        <v>1.18</v>
      </c>
    </row>
    <row r="20" spans="2:6" x14ac:dyDescent="0.3">
      <c r="B20" s="3" t="s">
        <v>109</v>
      </c>
      <c r="C20" s="4">
        <v>717</v>
      </c>
      <c r="D20" s="5">
        <v>147803.54999999999</v>
      </c>
      <c r="E20" s="11">
        <v>206.14</v>
      </c>
      <c r="F20" s="6">
        <v>0.96</v>
      </c>
    </row>
    <row r="21" spans="2:6" x14ac:dyDescent="0.3">
      <c r="B21" s="7" t="s">
        <v>110</v>
      </c>
      <c r="C21" s="8">
        <v>517</v>
      </c>
      <c r="D21" s="9">
        <v>137838.54999999999</v>
      </c>
      <c r="E21" s="12">
        <v>266.61</v>
      </c>
      <c r="F21" s="10">
        <v>0.89</v>
      </c>
    </row>
    <row r="22" spans="2:6" x14ac:dyDescent="0.3">
      <c r="B22" s="3" t="s">
        <v>111</v>
      </c>
      <c r="C22" s="4">
        <v>701</v>
      </c>
      <c r="D22" s="5">
        <v>134367.54999999999</v>
      </c>
      <c r="E22" s="11">
        <v>191.68</v>
      </c>
      <c r="F22" s="6">
        <v>0.87</v>
      </c>
    </row>
    <row r="23" spans="2:6" x14ac:dyDescent="0.3">
      <c r="B23" s="7" t="s">
        <v>112</v>
      </c>
      <c r="C23" s="8">
        <v>476</v>
      </c>
      <c r="D23" s="9">
        <v>105178.19</v>
      </c>
      <c r="E23" s="12">
        <v>220.96</v>
      </c>
      <c r="F23" s="10">
        <v>0.68</v>
      </c>
    </row>
    <row r="24" spans="2:6" x14ac:dyDescent="0.3">
      <c r="B24" s="3" t="s">
        <v>113</v>
      </c>
      <c r="C24" s="4">
        <v>474</v>
      </c>
      <c r="D24" s="5">
        <v>100714.78</v>
      </c>
      <c r="E24" s="11">
        <v>212.48</v>
      </c>
      <c r="F24" s="6">
        <v>0.65</v>
      </c>
    </row>
    <row r="25" spans="2:6" x14ac:dyDescent="0.3">
      <c r="B25" s="7" t="s">
        <v>114</v>
      </c>
      <c r="C25" s="8">
        <v>397</v>
      </c>
      <c r="D25" s="9">
        <v>94172.49</v>
      </c>
      <c r="E25" s="12">
        <v>237.21</v>
      </c>
      <c r="F25" s="10">
        <v>0.61</v>
      </c>
    </row>
    <row r="26" spans="2:6" x14ac:dyDescent="0.3">
      <c r="B26" s="3" t="s">
        <v>115</v>
      </c>
      <c r="C26" s="4">
        <v>335</v>
      </c>
      <c r="D26" s="5">
        <v>70289.13</v>
      </c>
      <c r="E26" s="11">
        <v>209.82</v>
      </c>
      <c r="F26" s="6">
        <v>0.46</v>
      </c>
    </row>
    <row r="27" spans="2:6" x14ac:dyDescent="0.3">
      <c r="B27" s="7" t="s">
        <v>116</v>
      </c>
      <c r="C27" s="8">
        <v>274</v>
      </c>
      <c r="D27" s="9">
        <v>60007.37</v>
      </c>
      <c r="E27" s="12">
        <v>219</v>
      </c>
      <c r="F27" s="10">
        <v>0.39</v>
      </c>
    </row>
    <row r="28" spans="2:6" x14ac:dyDescent="0.3">
      <c r="B28" s="3" t="s">
        <v>117</v>
      </c>
      <c r="C28" s="4">
        <v>243</v>
      </c>
      <c r="D28" s="5">
        <v>56966</v>
      </c>
      <c r="E28" s="11">
        <v>234.43</v>
      </c>
      <c r="F28" s="6">
        <v>0.37</v>
      </c>
    </row>
    <row r="29" spans="2:6" x14ac:dyDescent="0.3">
      <c r="B29" s="7" t="s">
        <v>118</v>
      </c>
      <c r="C29" s="8">
        <v>145</v>
      </c>
      <c r="D29" s="9">
        <v>27585.47</v>
      </c>
      <c r="E29" s="12">
        <v>190.24</v>
      </c>
      <c r="F29" s="10">
        <v>0.18</v>
      </c>
    </row>
    <row r="30" spans="2:6" x14ac:dyDescent="0.3">
      <c r="B30" s="3" t="s">
        <v>119</v>
      </c>
      <c r="C30" s="4">
        <v>80</v>
      </c>
      <c r="D30" s="5">
        <v>19575.330000000002</v>
      </c>
      <c r="E30" s="11">
        <v>244.69</v>
      </c>
      <c r="F30" s="6">
        <v>0.13</v>
      </c>
    </row>
    <row r="31" spans="2:6" x14ac:dyDescent="0.3">
      <c r="B31" s="7" t="s">
        <v>120</v>
      </c>
      <c r="C31" s="8">
        <v>67</v>
      </c>
      <c r="D31" s="9">
        <v>16141.81</v>
      </c>
      <c r="E31" s="12">
        <v>240.92</v>
      </c>
      <c r="F31" s="10">
        <v>0.1</v>
      </c>
    </row>
    <row r="32" spans="2:6" x14ac:dyDescent="0.3">
      <c r="B32" s="3" t="s">
        <v>121</v>
      </c>
      <c r="C32" s="4">
        <v>41</v>
      </c>
      <c r="D32" s="5">
        <v>9039.52</v>
      </c>
      <c r="E32" s="11">
        <v>220.48</v>
      </c>
      <c r="F32" s="6">
        <v>0.06</v>
      </c>
    </row>
  </sheetData>
  <mergeCells count="3">
    <mergeCell ref="A1:I1"/>
    <mergeCell ref="A2:I2"/>
    <mergeCell ref="B4:F4"/>
  </mergeCells>
  <conditionalFormatting sqref="D6:D32">
    <cfRule type="dataBar" priority="2">
      <dataBar>
        <cfvo type="min"/>
        <cfvo type="max"/>
        <color rgb="FF2E5395"/>
      </dataBar>
      <extLst>
        <ext xmlns:x14="http://schemas.microsoft.com/office/spreadsheetml/2009/9/main" uri="{B025F937-C7B1-47D3-B67F-A62EFF666E3E}">
          <x14:id>{66F24DB0-7050-4D69-A635-19FF17C1F06E}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F24DB0-7050-4D69-A635-19FF17C1F06E}">
            <x14:dataBar axisPosition="none">
              <x14:cfvo type="min"/>
              <x14:cfvo type="max"/>
              <x14:negativeFillColor rgb="FF2E5395"/>
            </x14:dataBar>
          </x14:cfRule>
          <xm:sqref>D6:D32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topLeftCell="A19" zoomScale="90" zoomScaleNormal="90" workbookViewId="0">
      <selection activeCell="J5" sqref="J5"/>
    </sheetView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12.6640625" customWidth="1"/>
    <col min="5" max="5" width="14" customWidth="1"/>
    <col min="6" max="6" width="11.77734375" customWidth="1"/>
    <col min="7" max="8" width="6" customWidth="1"/>
    <col min="9" max="9" width="10" customWidth="1"/>
    <col min="10" max="10" width="12" customWidth="1"/>
  </cols>
  <sheetData>
    <row r="1" spans="1:10" ht="27.75" customHeight="1" x14ac:dyDescent="0.3">
      <c r="A1" s="51" t="s">
        <v>122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x14ac:dyDescent="0.3">
      <c r="A2" s="42" t="s">
        <v>123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30.6" customHeight="1" x14ac:dyDescent="0.3">
      <c r="B4" s="50" t="s">
        <v>124</v>
      </c>
      <c r="C4" s="50"/>
      <c r="D4" s="50"/>
      <c r="E4" s="50"/>
      <c r="F4" s="50"/>
    </row>
    <row r="5" spans="1:10" ht="64.8" customHeight="1" x14ac:dyDescent="0.3">
      <c r="B5" s="2" t="s">
        <v>39</v>
      </c>
      <c r="C5" s="2" t="s">
        <v>40</v>
      </c>
      <c r="D5" s="2" t="s">
        <v>41</v>
      </c>
      <c r="E5" s="2" t="s">
        <v>125</v>
      </c>
      <c r="F5" s="22" t="s">
        <v>342</v>
      </c>
    </row>
    <row r="6" spans="1:10" x14ac:dyDescent="0.3">
      <c r="B6" s="14" t="s">
        <v>42</v>
      </c>
      <c r="C6" s="5">
        <v>21014</v>
      </c>
      <c r="D6" s="11">
        <v>330.21</v>
      </c>
      <c r="E6" s="5">
        <v>6939109.8799999999</v>
      </c>
      <c r="F6" s="6">
        <v>22.5</v>
      </c>
    </row>
    <row r="7" spans="1:10" x14ac:dyDescent="0.3">
      <c r="B7" s="15" t="s">
        <v>43</v>
      </c>
      <c r="C7" s="9">
        <v>30947</v>
      </c>
      <c r="D7" s="12">
        <v>187.71</v>
      </c>
      <c r="E7" s="9">
        <v>5809199.3200000003</v>
      </c>
      <c r="F7" s="10">
        <v>33.1</v>
      </c>
    </row>
    <row r="8" spans="1:10" x14ac:dyDescent="0.3">
      <c r="B8" s="16" t="s">
        <v>44</v>
      </c>
      <c r="C8" s="5">
        <v>10310</v>
      </c>
      <c r="D8" s="11">
        <v>108.61</v>
      </c>
      <c r="E8" s="5">
        <v>1119721.76</v>
      </c>
      <c r="F8" s="6">
        <v>11</v>
      </c>
    </row>
    <row r="9" spans="1:10" x14ac:dyDescent="0.3">
      <c r="B9" s="17" t="s">
        <v>45</v>
      </c>
      <c r="C9" s="9">
        <v>10507</v>
      </c>
      <c r="D9" s="12">
        <v>50.28</v>
      </c>
      <c r="E9" s="9">
        <v>528271.39</v>
      </c>
      <c r="F9" s="10">
        <v>11.3</v>
      </c>
    </row>
    <row r="10" spans="1:10" x14ac:dyDescent="0.3">
      <c r="B10" s="18" t="s">
        <v>46</v>
      </c>
      <c r="C10" s="5">
        <v>20580</v>
      </c>
      <c r="D10" s="11">
        <v>49.73</v>
      </c>
      <c r="E10" s="5">
        <v>1023471.4</v>
      </c>
      <c r="F10" s="6">
        <v>22</v>
      </c>
    </row>
    <row r="13" spans="1:10" ht="19.5" customHeight="1" x14ac:dyDescent="0.3">
      <c r="B13" s="50" t="s">
        <v>126</v>
      </c>
      <c r="C13" s="50"/>
      <c r="D13" s="50"/>
      <c r="E13" s="50"/>
      <c r="F13" s="50"/>
      <c r="G13" s="50"/>
      <c r="H13" s="50"/>
      <c r="I13" s="50"/>
    </row>
    <row r="14" spans="1:10" ht="30" customHeight="1" x14ac:dyDescent="0.3">
      <c r="B14" s="2" t="s">
        <v>127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s="2" t="s">
        <v>39</v>
      </c>
    </row>
    <row r="15" spans="1:10" x14ac:dyDescent="0.3">
      <c r="B15" s="3" t="s">
        <v>135</v>
      </c>
      <c r="C15" s="5">
        <v>33</v>
      </c>
      <c r="D15" s="5">
        <v>1</v>
      </c>
      <c r="E15" s="11">
        <v>178.25</v>
      </c>
      <c r="F15" s="4">
        <v>3</v>
      </c>
      <c r="G15" s="4">
        <v>3</v>
      </c>
      <c r="H15" s="4">
        <v>3</v>
      </c>
      <c r="I15" s="4">
        <v>9</v>
      </c>
      <c r="J15" s="4" t="s">
        <v>42</v>
      </c>
    </row>
    <row r="16" spans="1:10" x14ac:dyDescent="0.3">
      <c r="B16" s="7" t="s">
        <v>136</v>
      </c>
      <c r="C16" s="9">
        <v>33</v>
      </c>
      <c r="D16" s="9">
        <v>1</v>
      </c>
      <c r="E16" s="12">
        <v>497.25</v>
      </c>
      <c r="F16" s="8">
        <v>3</v>
      </c>
      <c r="G16" s="8">
        <v>3</v>
      </c>
      <c r="H16" s="8">
        <v>3</v>
      </c>
      <c r="I16" s="8">
        <v>9</v>
      </c>
      <c r="J16" s="8" t="s">
        <v>42</v>
      </c>
    </row>
    <row r="17" spans="2:10" x14ac:dyDescent="0.3">
      <c r="B17" s="3" t="s">
        <v>137</v>
      </c>
      <c r="C17" s="5">
        <v>33</v>
      </c>
      <c r="D17" s="5">
        <v>1</v>
      </c>
      <c r="E17" s="11">
        <v>510.96</v>
      </c>
      <c r="F17" s="4">
        <v>3</v>
      </c>
      <c r="G17" s="4">
        <v>3</v>
      </c>
      <c r="H17" s="4">
        <v>3</v>
      </c>
      <c r="I17" s="4">
        <v>9</v>
      </c>
      <c r="J17" s="4" t="s">
        <v>42</v>
      </c>
    </row>
    <row r="18" spans="2:10" x14ac:dyDescent="0.3">
      <c r="B18" s="7" t="s">
        <v>138</v>
      </c>
      <c r="C18" s="9">
        <v>34</v>
      </c>
      <c r="D18" s="9">
        <v>1</v>
      </c>
      <c r="E18" s="12">
        <v>160.12</v>
      </c>
      <c r="F18" s="8">
        <v>3</v>
      </c>
      <c r="G18" s="8">
        <v>3</v>
      </c>
      <c r="H18" s="8">
        <v>3</v>
      </c>
      <c r="I18" s="8">
        <v>9</v>
      </c>
      <c r="J18" s="8" t="s">
        <v>42</v>
      </c>
    </row>
    <row r="19" spans="2:10" x14ac:dyDescent="0.3">
      <c r="B19" s="3" t="s">
        <v>139</v>
      </c>
      <c r="C19" s="5">
        <v>34</v>
      </c>
      <c r="D19" s="5">
        <v>1</v>
      </c>
      <c r="E19" s="11">
        <v>161.97</v>
      </c>
      <c r="F19" s="4">
        <v>3</v>
      </c>
      <c r="G19" s="4">
        <v>3</v>
      </c>
      <c r="H19" s="4">
        <v>3</v>
      </c>
      <c r="I19" s="4">
        <v>9</v>
      </c>
      <c r="J19" s="4" t="s">
        <v>42</v>
      </c>
    </row>
    <row r="20" spans="2:10" x14ac:dyDescent="0.3">
      <c r="B20" s="7" t="s">
        <v>140</v>
      </c>
      <c r="C20" s="9">
        <v>34</v>
      </c>
      <c r="D20" s="9">
        <v>1</v>
      </c>
      <c r="E20" s="12">
        <v>185.82</v>
      </c>
      <c r="F20" s="8">
        <v>3</v>
      </c>
      <c r="G20" s="8">
        <v>3</v>
      </c>
      <c r="H20" s="8">
        <v>3</v>
      </c>
      <c r="I20" s="8">
        <v>9</v>
      </c>
      <c r="J20" s="8" t="s">
        <v>42</v>
      </c>
    </row>
    <row r="21" spans="2:10" x14ac:dyDescent="0.3">
      <c r="B21" s="3" t="s">
        <v>141</v>
      </c>
      <c r="C21" s="5">
        <v>34</v>
      </c>
      <c r="D21" s="5">
        <v>1</v>
      </c>
      <c r="E21" s="11">
        <v>188.13</v>
      </c>
      <c r="F21" s="4">
        <v>3</v>
      </c>
      <c r="G21" s="4">
        <v>3</v>
      </c>
      <c r="H21" s="4">
        <v>3</v>
      </c>
      <c r="I21" s="4">
        <v>9</v>
      </c>
      <c r="J21" s="4" t="s">
        <v>42</v>
      </c>
    </row>
    <row r="22" spans="2:10" x14ac:dyDescent="0.3">
      <c r="B22" s="7" t="s">
        <v>142</v>
      </c>
      <c r="C22" s="9">
        <v>34</v>
      </c>
      <c r="D22" s="9">
        <v>1</v>
      </c>
      <c r="E22" s="12">
        <v>189.32</v>
      </c>
      <c r="F22" s="8">
        <v>3</v>
      </c>
      <c r="G22" s="8">
        <v>3</v>
      </c>
      <c r="H22" s="8">
        <v>3</v>
      </c>
      <c r="I22" s="8">
        <v>9</v>
      </c>
      <c r="J22" s="8" t="s">
        <v>42</v>
      </c>
    </row>
    <row r="23" spans="2:10" x14ac:dyDescent="0.3">
      <c r="B23" s="3" t="s">
        <v>143</v>
      </c>
      <c r="C23" s="5">
        <v>34</v>
      </c>
      <c r="D23" s="5">
        <v>1</v>
      </c>
      <c r="E23" s="11">
        <v>216.58</v>
      </c>
      <c r="F23" s="4">
        <v>3</v>
      </c>
      <c r="G23" s="4">
        <v>3</v>
      </c>
      <c r="H23" s="4">
        <v>3</v>
      </c>
      <c r="I23" s="4">
        <v>9</v>
      </c>
      <c r="J23" s="4" t="s">
        <v>42</v>
      </c>
    </row>
    <row r="24" spans="2:10" x14ac:dyDescent="0.3">
      <c r="B24" s="7" t="s">
        <v>144</v>
      </c>
      <c r="C24" s="9">
        <v>34</v>
      </c>
      <c r="D24" s="9">
        <v>1</v>
      </c>
      <c r="E24" s="12">
        <v>259.81</v>
      </c>
      <c r="F24" s="8">
        <v>3</v>
      </c>
      <c r="G24" s="8">
        <v>3</v>
      </c>
      <c r="H24" s="8">
        <v>3</v>
      </c>
      <c r="I24" s="8">
        <v>9</v>
      </c>
      <c r="J24" s="8" t="s">
        <v>42</v>
      </c>
    </row>
    <row r="25" spans="2:10" x14ac:dyDescent="0.3">
      <c r="B25" s="3" t="s">
        <v>145</v>
      </c>
      <c r="C25" s="5">
        <v>34</v>
      </c>
      <c r="D25" s="5">
        <v>1</v>
      </c>
      <c r="E25" s="11">
        <v>260.5</v>
      </c>
      <c r="F25" s="4">
        <v>3</v>
      </c>
      <c r="G25" s="4">
        <v>3</v>
      </c>
      <c r="H25" s="4">
        <v>3</v>
      </c>
      <c r="I25" s="4">
        <v>9</v>
      </c>
      <c r="J25" s="4" t="s">
        <v>42</v>
      </c>
    </row>
    <row r="26" spans="2:10" x14ac:dyDescent="0.3">
      <c r="B26" s="7" t="s">
        <v>146</v>
      </c>
      <c r="C26" s="9">
        <v>34</v>
      </c>
      <c r="D26" s="9">
        <v>1</v>
      </c>
      <c r="E26" s="12">
        <v>712.9</v>
      </c>
      <c r="F26" s="8">
        <v>3</v>
      </c>
      <c r="G26" s="8">
        <v>3</v>
      </c>
      <c r="H26" s="8">
        <v>3</v>
      </c>
      <c r="I26" s="8">
        <v>9</v>
      </c>
      <c r="J26" s="8" t="s">
        <v>42</v>
      </c>
    </row>
    <row r="27" spans="2:10" x14ac:dyDescent="0.3">
      <c r="B27" s="3" t="s">
        <v>147</v>
      </c>
      <c r="C27" s="5">
        <v>34</v>
      </c>
      <c r="D27" s="5">
        <v>2</v>
      </c>
      <c r="E27" s="11">
        <v>314.33</v>
      </c>
      <c r="F27" s="4">
        <v>3</v>
      </c>
      <c r="G27" s="4">
        <v>3</v>
      </c>
      <c r="H27" s="4">
        <v>3</v>
      </c>
      <c r="I27" s="4">
        <v>9</v>
      </c>
      <c r="J27" s="4" t="s">
        <v>42</v>
      </c>
    </row>
    <row r="28" spans="2:10" x14ac:dyDescent="0.3">
      <c r="B28" s="7" t="s">
        <v>148</v>
      </c>
      <c r="C28" s="9">
        <v>34</v>
      </c>
      <c r="D28" s="9">
        <v>3</v>
      </c>
      <c r="E28" s="12">
        <v>295.57</v>
      </c>
      <c r="F28" s="8">
        <v>3</v>
      </c>
      <c r="G28" s="8">
        <v>3</v>
      </c>
      <c r="H28" s="8">
        <v>3</v>
      </c>
      <c r="I28" s="8">
        <v>9</v>
      </c>
      <c r="J28" s="8" t="s">
        <v>42</v>
      </c>
    </row>
    <row r="29" spans="2:10" x14ac:dyDescent="0.3">
      <c r="B29" s="3" t="s">
        <v>149</v>
      </c>
      <c r="C29" s="5">
        <v>35</v>
      </c>
      <c r="D29" s="5">
        <v>1</v>
      </c>
      <c r="E29" s="11">
        <v>175.41</v>
      </c>
      <c r="F29" s="4">
        <v>3</v>
      </c>
      <c r="G29" s="4">
        <v>3</v>
      </c>
      <c r="H29" s="4">
        <v>3</v>
      </c>
      <c r="I29" s="4">
        <v>9</v>
      </c>
      <c r="J29" s="4" t="s">
        <v>42</v>
      </c>
    </row>
    <row r="30" spans="2:10" x14ac:dyDescent="0.3">
      <c r="B30" s="7" t="s">
        <v>150</v>
      </c>
      <c r="C30" s="9">
        <v>35</v>
      </c>
      <c r="D30" s="9">
        <v>1</v>
      </c>
      <c r="E30" s="12">
        <v>181</v>
      </c>
      <c r="F30" s="8">
        <v>3</v>
      </c>
      <c r="G30" s="8">
        <v>3</v>
      </c>
      <c r="H30" s="8">
        <v>3</v>
      </c>
      <c r="I30" s="8">
        <v>9</v>
      </c>
      <c r="J30" s="8" t="s">
        <v>42</v>
      </c>
    </row>
    <row r="31" spans="2:10" x14ac:dyDescent="0.3">
      <c r="B31" s="3" t="s">
        <v>151</v>
      </c>
      <c r="C31" s="5">
        <v>35</v>
      </c>
      <c r="D31" s="5">
        <v>1</v>
      </c>
      <c r="E31" s="11">
        <v>192.28</v>
      </c>
      <c r="F31" s="4">
        <v>3</v>
      </c>
      <c r="G31" s="4">
        <v>3</v>
      </c>
      <c r="H31" s="4">
        <v>3</v>
      </c>
      <c r="I31" s="4">
        <v>9</v>
      </c>
      <c r="J31" s="4" t="s">
        <v>42</v>
      </c>
    </row>
    <row r="32" spans="2:10" x14ac:dyDescent="0.3">
      <c r="B32" s="7" t="s">
        <v>152</v>
      </c>
      <c r="C32" s="9">
        <v>35</v>
      </c>
      <c r="D32" s="9">
        <v>1</v>
      </c>
      <c r="E32" s="12">
        <v>207.6</v>
      </c>
      <c r="F32" s="8">
        <v>3</v>
      </c>
      <c r="G32" s="8">
        <v>3</v>
      </c>
      <c r="H32" s="8">
        <v>3</v>
      </c>
      <c r="I32" s="8">
        <v>9</v>
      </c>
      <c r="J32" s="8" t="s">
        <v>42</v>
      </c>
    </row>
    <row r="33" spans="2:10" x14ac:dyDescent="0.3">
      <c r="B33" s="3" t="s">
        <v>153</v>
      </c>
      <c r="C33" s="5">
        <v>35</v>
      </c>
      <c r="D33" s="5">
        <v>1</v>
      </c>
      <c r="E33" s="11">
        <v>209.32</v>
      </c>
      <c r="F33" s="4">
        <v>3</v>
      </c>
      <c r="G33" s="4">
        <v>3</v>
      </c>
      <c r="H33" s="4">
        <v>3</v>
      </c>
      <c r="I33" s="4">
        <v>9</v>
      </c>
      <c r="J33" s="4" t="s">
        <v>42</v>
      </c>
    </row>
    <row r="34" spans="2:10" x14ac:dyDescent="0.3">
      <c r="B34" s="7" t="s">
        <v>154</v>
      </c>
      <c r="C34" s="9">
        <v>35</v>
      </c>
      <c r="D34" s="9">
        <v>1</v>
      </c>
      <c r="E34" s="12">
        <v>301.8</v>
      </c>
      <c r="F34" s="8">
        <v>3</v>
      </c>
      <c r="G34" s="8">
        <v>3</v>
      </c>
      <c r="H34" s="8">
        <v>3</v>
      </c>
      <c r="I34" s="8">
        <v>9</v>
      </c>
      <c r="J34" s="8" t="s">
        <v>42</v>
      </c>
    </row>
    <row r="35" spans="2:10" x14ac:dyDescent="0.3">
      <c r="B35" s="3" t="s">
        <v>155</v>
      </c>
      <c r="C35" s="5">
        <v>35</v>
      </c>
      <c r="D35" s="5">
        <v>1</v>
      </c>
      <c r="E35" s="11">
        <v>369.54</v>
      </c>
      <c r="F35" s="4">
        <v>3</v>
      </c>
      <c r="G35" s="4">
        <v>3</v>
      </c>
      <c r="H35" s="4">
        <v>3</v>
      </c>
      <c r="I35" s="4">
        <v>9</v>
      </c>
      <c r="J35" s="4" t="s">
        <v>42</v>
      </c>
    </row>
    <row r="36" spans="2:10" x14ac:dyDescent="0.3">
      <c r="B36" s="7" t="s">
        <v>156</v>
      </c>
      <c r="C36" s="9">
        <v>35</v>
      </c>
      <c r="D36" s="9">
        <v>1</v>
      </c>
      <c r="E36" s="12">
        <v>384.79</v>
      </c>
      <c r="F36" s="8">
        <v>3</v>
      </c>
      <c r="G36" s="8">
        <v>3</v>
      </c>
      <c r="H36" s="8">
        <v>3</v>
      </c>
      <c r="I36" s="8">
        <v>9</v>
      </c>
      <c r="J36" s="8" t="s">
        <v>42</v>
      </c>
    </row>
    <row r="37" spans="2:10" x14ac:dyDescent="0.3">
      <c r="B37" s="3" t="s">
        <v>157</v>
      </c>
      <c r="C37" s="5">
        <v>35</v>
      </c>
      <c r="D37" s="5">
        <v>1</v>
      </c>
      <c r="E37" s="11">
        <v>545.51</v>
      </c>
      <c r="F37" s="4">
        <v>3</v>
      </c>
      <c r="G37" s="4">
        <v>3</v>
      </c>
      <c r="H37" s="4">
        <v>3</v>
      </c>
      <c r="I37" s="4">
        <v>9</v>
      </c>
      <c r="J37" s="4" t="s">
        <v>42</v>
      </c>
    </row>
    <row r="38" spans="2:10" x14ac:dyDescent="0.3">
      <c r="B38" s="7" t="s">
        <v>158</v>
      </c>
      <c r="C38" s="9">
        <v>35</v>
      </c>
      <c r="D38" s="9">
        <v>2</v>
      </c>
      <c r="E38" s="12">
        <v>153.12</v>
      </c>
      <c r="F38" s="8">
        <v>3</v>
      </c>
      <c r="G38" s="8">
        <v>3</v>
      </c>
      <c r="H38" s="8">
        <v>3</v>
      </c>
      <c r="I38" s="8">
        <v>9</v>
      </c>
      <c r="J38" s="8" t="s">
        <v>42</v>
      </c>
    </row>
    <row r="39" spans="2:10" x14ac:dyDescent="0.3">
      <c r="B39" s="3" t="s">
        <v>159</v>
      </c>
      <c r="C39" s="5">
        <v>35</v>
      </c>
      <c r="D39" s="5">
        <v>2</v>
      </c>
      <c r="E39" s="11">
        <v>219.93</v>
      </c>
      <c r="F39" s="4">
        <v>3</v>
      </c>
      <c r="G39" s="4">
        <v>3</v>
      </c>
      <c r="H39" s="4">
        <v>3</v>
      </c>
      <c r="I39" s="4">
        <v>9</v>
      </c>
      <c r="J39" s="4" t="s">
        <v>42</v>
      </c>
    </row>
    <row r="40" spans="2:10" x14ac:dyDescent="0.3">
      <c r="B40" s="7" t="s">
        <v>160</v>
      </c>
      <c r="C40" s="9">
        <v>36</v>
      </c>
      <c r="D40" s="9">
        <v>1</v>
      </c>
      <c r="E40" s="12">
        <v>158.97</v>
      </c>
      <c r="F40" s="8">
        <v>3</v>
      </c>
      <c r="G40" s="8">
        <v>3</v>
      </c>
      <c r="H40" s="8">
        <v>3</v>
      </c>
      <c r="I40" s="8">
        <v>9</v>
      </c>
      <c r="J40" s="8" t="s">
        <v>42</v>
      </c>
    </row>
    <row r="41" spans="2:10" x14ac:dyDescent="0.3">
      <c r="B41" s="3" t="s">
        <v>161</v>
      </c>
      <c r="C41" s="5">
        <v>36</v>
      </c>
      <c r="D41" s="5">
        <v>1</v>
      </c>
      <c r="E41" s="11">
        <v>165.14</v>
      </c>
      <c r="F41" s="4">
        <v>3</v>
      </c>
      <c r="G41" s="4">
        <v>3</v>
      </c>
      <c r="H41" s="4">
        <v>3</v>
      </c>
      <c r="I41" s="4">
        <v>9</v>
      </c>
      <c r="J41" s="4" t="s">
        <v>42</v>
      </c>
    </row>
    <row r="42" spans="2:10" x14ac:dyDescent="0.3">
      <c r="B42" s="7" t="s">
        <v>162</v>
      </c>
      <c r="C42" s="9">
        <v>36</v>
      </c>
      <c r="D42" s="9">
        <v>1</v>
      </c>
      <c r="E42" s="12">
        <v>167.86</v>
      </c>
      <c r="F42" s="8">
        <v>3</v>
      </c>
      <c r="G42" s="8">
        <v>3</v>
      </c>
      <c r="H42" s="8">
        <v>3</v>
      </c>
      <c r="I42" s="8">
        <v>9</v>
      </c>
      <c r="J42" s="8" t="s">
        <v>42</v>
      </c>
    </row>
    <row r="43" spans="2:10" x14ac:dyDescent="0.3">
      <c r="B43" s="3" t="s">
        <v>163</v>
      </c>
      <c r="C43" s="5">
        <v>36</v>
      </c>
      <c r="D43" s="5">
        <v>1</v>
      </c>
      <c r="E43" s="11">
        <v>172.14</v>
      </c>
      <c r="F43" s="4">
        <v>3</v>
      </c>
      <c r="G43" s="4">
        <v>3</v>
      </c>
      <c r="H43" s="4">
        <v>3</v>
      </c>
      <c r="I43" s="4">
        <v>9</v>
      </c>
      <c r="J43" s="4" t="s">
        <v>42</v>
      </c>
    </row>
    <row r="44" spans="2:10" x14ac:dyDescent="0.3">
      <c r="B44" s="7" t="s">
        <v>164</v>
      </c>
      <c r="C44" s="9">
        <v>36</v>
      </c>
      <c r="D44" s="9">
        <v>1</v>
      </c>
      <c r="E44" s="12">
        <v>182.06</v>
      </c>
      <c r="F44" s="8">
        <v>3</v>
      </c>
      <c r="G44" s="8">
        <v>3</v>
      </c>
      <c r="H44" s="8">
        <v>3</v>
      </c>
      <c r="I44" s="8">
        <v>9</v>
      </c>
      <c r="J44" s="8" t="s">
        <v>42</v>
      </c>
    </row>
    <row r="45" spans="2:10" x14ac:dyDescent="0.3">
      <c r="B45" s="3" t="s">
        <v>165</v>
      </c>
      <c r="C45" s="5">
        <v>36</v>
      </c>
      <c r="D45" s="5">
        <v>1</v>
      </c>
      <c r="E45" s="11">
        <v>189.37</v>
      </c>
      <c r="F45" s="4">
        <v>3</v>
      </c>
      <c r="G45" s="4">
        <v>3</v>
      </c>
      <c r="H45" s="4">
        <v>3</v>
      </c>
      <c r="I45" s="4">
        <v>9</v>
      </c>
      <c r="J45" s="4" t="s">
        <v>42</v>
      </c>
    </row>
    <row r="46" spans="2:10" x14ac:dyDescent="0.3">
      <c r="B46" s="7" t="s">
        <v>166</v>
      </c>
      <c r="C46" s="9">
        <v>36</v>
      </c>
      <c r="D46" s="9">
        <v>1</v>
      </c>
      <c r="E46" s="12">
        <v>201.82</v>
      </c>
      <c r="F46" s="8">
        <v>3</v>
      </c>
      <c r="G46" s="8">
        <v>3</v>
      </c>
      <c r="H46" s="8">
        <v>3</v>
      </c>
      <c r="I46" s="8">
        <v>9</v>
      </c>
      <c r="J46" s="8" t="s">
        <v>42</v>
      </c>
    </row>
    <row r="47" spans="2:10" x14ac:dyDescent="0.3">
      <c r="B47" s="3" t="s">
        <v>167</v>
      </c>
      <c r="C47" s="5">
        <v>36</v>
      </c>
      <c r="D47" s="5">
        <v>1</v>
      </c>
      <c r="E47" s="11">
        <v>207.49</v>
      </c>
      <c r="F47" s="4">
        <v>3</v>
      </c>
      <c r="G47" s="4">
        <v>3</v>
      </c>
      <c r="H47" s="4">
        <v>3</v>
      </c>
      <c r="I47" s="4">
        <v>9</v>
      </c>
      <c r="J47" s="4" t="s">
        <v>42</v>
      </c>
    </row>
    <row r="48" spans="2:10" x14ac:dyDescent="0.3">
      <c r="B48" s="7" t="s">
        <v>168</v>
      </c>
      <c r="C48" s="9">
        <v>36</v>
      </c>
      <c r="D48" s="9">
        <v>1</v>
      </c>
      <c r="E48" s="12">
        <v>211.88</v>
      </c>
      <c r="F48" s="8">
        <v>3</v>
      </c>
      <c r="G48" s="8">
        <v>3</v>
      </c>
      <c r="H48" s="8">
        <v>3</v>
      </c>
      <c r="I48" s="8">
        <v>9</v>
      </c>
      <c r="J48" s="8" t="s">
        <v>42</v>
      </c>
    </row>
    <row r="49" spans="2:10" x14ac:dyDescent="0.3">
      <c r="B49" s="3" t="s">
        <v>169</v>
      </c>
      <c r="C49" s="5">
        <v>36</v>
      </c>
      <c r="D49" s="5">
        <v>1</v>
      </c>
      <c r="E49" s="11">
        <v>234.84</v>
      </c>
      <c r="F49" s="4">
        <v>3</v>
      </c>
      <c r="G49" s="4">
        <v>3</v>
      </c>
      <c r="H49" s="4">
        <v>3</v>
      </c>
      <c r="I49" s="4">
        <v>9</v>
      </c>
      <c r="J49" s="4" t="s">
        <v>42</v>
      </c>
    </row>
    <row r="50" spans="2:10" x14ac:dyDescent="0.3">
      <c r="B50" s="7" t="s">
        <v>170</v>
      </c>
      <c r="C50" s="9">
        <v>36</v>
      </c>
      <c r="D50" s="9">
        <v>1</v>
      </c>
      <c r="E50" s="12">
        <v>236.46</v>
      </c>
      <c r="F50" s="8">
        <v>3</v>
      </c>
      <c r="G50" s="8">
        <v>3</v>
      </c>
      <c r="H50" s="8">
        <v>3</v>
      </c>
      <c r="I50" s="8">
        <v>9</v>
      </c>
      <c r="J50" s="8" t="s">
        <v>42</v>
      </c>
    </row>
    <row r="51" spans="2:10" x14ac:dyDescent="0.3">
      <c r="B51" s="3" t="s">
        <v>171</v>
      </c>
      <c r="C51" s="5">
        <v>36</v>
      </c>
      <c r="D51" s="5">
        <v>1</v>
      </c>
      <c r="E51" s="11">
        <v>239.16</v>
      </c>
      <c r="F51" s="4">
        <v>3</v>
      </c>
      <c r="G51" s="4">
        <v>3</v>
      </c>
      <c r="H51" s="4">
        <v>3</v>
      </c>
      <c r="I51" s="4">
        <v>9</v>
      </c>
      <c r="J51" s="4" t="s">
        <v>42</v>
      </c>
    </row>
    <row r="52" spans="2:10" x14ac:dyDescent="0.3">
      <c r="B52" s="7" t="s">
        <v>172</v>
      </c>
      <c r="C52" s="9">
        <v>36</v>
      </c>
      <c r="D52" s="9">
        <v>1</v>
      </c>
      <c r="E52" s="12">
        <v>308.35000000000002</v>
      </c>
      <c r="F52" s="8">
        <v>3</v>
      </c>
      <c r="G52" s="8">
        <v>3</v>
      </c>
      <c r="H52" s="8">
        <v>3</v>
      </c>
      <c r="I52" s="8">
        <v>9</v>
      </c>
      <c r="J52" s="8" t="s">
        <v>42</v>
      </c>
    </row>
    <row r="53" spans="2:10" x14ac:dyDescent="0.3">
      <c r="B53" s="3" t="s">
        <v>173</v>
      </c>
      <c r="C53" s="5">
        <v>36</v>
      </c>
      <c r="D53" s="5">
        <v>1</v>
      </c>
      <c r="E53" s="11">
        <v>319.89</v>
      </c>
      <c r="F53" s="4">
        <v>3</v>
      </c>
      <c r="G53" s="4">
        <v>3</v>
      </c>
      <c r="H53" s="4">
        <v>3</v>
      </c>
      <c r="I53" s="4">
        <v>9</v>
      </c>
      <c r="J53" s="4" t="s">
        <v>42</v>
      </c>
    </row>
    <row r="54" spans="2:10" x14ac:dyDescent="0.3">
      <c r="B54" s="7" t="s">
        <v>174</v>
      </c>
      <c r="C54" s="9">
        <v>36</v>
      </c>
      <c r="D54" s="9">
        <v>1</v>
      </c>
      <c r="E54" s="12">
        <v>347.41</v>
      </c>
      <c r="F54" s="8">
        <v>3</v>
      </c>
      <c r="G54" s="8">
        <v>3</v>
      </c>
      <c r="H54" s="8">
        <v>3</v>
      </c>
      <c r="I54" s="8">
        <v>9</v>
      </c>
      <c r="J54" s="8" t="s">
        <v>42</v>
      </c>
    </row>
    <row r="55" spans="2:10" x14ac:dyDescent="0.3">
      <c r="B55" s="3" t="s">
        <v>175</v>
      </c>
      <c r="C55" s="5">
        <v>36</v>
      </c>
      <c r="D55" s="5">
        <v>1</v>
      </c>
      <c r="E55" s="11">
        <v>1312.67</v>
      </c>
      <c r="F55" s="4">
        <v>3</v>
      </c>
      <c r="G55" s="4">
        <v>3</v>
      </c>
      <c r="H55" s="4">
        <v>3</v>
      </c>
      <c r="I55" s="4">
        <v>9</v>
      </c>
      <c r="J55" s="4" t="s">
        <v>42</v>
      </c>
    </row>
    <row r="56" spans="2:10" x14ac:dyDescent="0.3">
      <c r="B56" s="7" t="s">
        <v>176</v>
      </c>
      <c r="C56" s="9">
        <v>36</v>
      </c>
      <c r="D56" s="9">
        <v>2</v>
      </c>
      <c r="E56" s="12">
        <v>377.78</v>
      </c>
      <c r="F56" s="8">
        <v>3</v>
      </c>
      <c r="G56" s="8">
        <v>3</v>
      </c>
      <c r="H56" s="8">
        <v>3</v>
      </c>
      <c r="I56" s="8">
        <v>9</v>
      </c>
      <c r="J56" s="8" t="s">
        <v>42</v>
      </c>
    </row>
    <row r="57" spans="2:10" x14ac:dyDescent="0.3">
      <c r="B57" s="3" t="s">
        <v>177</v>
      </c>
      <c r="C57" s="5">
        <v>36</v>
      </c>
      <c r="D57" s="5">
        <v>2</v>
      </c>
      <c r="E57" s="11">
        <v>502.74</v>
      </c>
      <c r="F57" s="4">
        <v>3</v>
      </c>
      <c r="G57" s="4">
        <v>3</v>
      </c>
      <c r="H57" s="4">
        <v>3</v>
      </c>
      <c r="I57" s="4">
        <v>9</v>
      </c>
      <c r="J57" s="4" t="s">
        <v>42</v>
      </c>
    </row>
    <row r="58" spans="2:10" x14ac:dyDescent="0.3">
      <c r="B58" s="7" t="s">
        <v>178</v>
      </c>
      <c r="C58" s="9">
        <v>37</v>
      </c>
      <c r="D58" s="9">
        <v>1</v>
      </c>
      <c r="E58" s="12">
        <v>154.78</v>
      </c>
      <c r="F58" s="8">
        <v>3</v>
      </c>
      <c r="G58" s="8">
        <v>3</v>
      </c>
      <c r="H58" s="8">
        <v>3</v>
      </c>
      <c r="I58" s="8">
        <v>9</v>
      </c>
      <c r="J58" s="8" t="s">
        <v>42</v>
      </c>
    </row>
    <row r="59" spans="2:10" x14ac:dyDescent="0.3">
      <c r="B59" s="3" t="s">
        <v>179</v>
      </c>
      <c r="C59" s="5">
        <v>37</v>
      </c>
      <c r="D59" s="5">
        <v>1</v>
      </c>
      <c r="E59" s="11">
        <v>155.01</v>
      </c>
      <c r="F59" s="4">
        <v>3</v>
      </c>
      <c r="G59" s="4">
        <v>3</v>
      </c>
      <c r="H59" s="4">
        <v>3</v>
      </c>
      <c r="I59" s="4">
        <v>9</v>
      </c>
      <c r="J59" s="4" t="s">
        <v>42</v>
      </c>
    </row>
    <row r="60" spans="2:10" x14ac:dyDescent="0.3">
      <c r="B60" s="7" t="s">
        <v>180</v>
      </c>
      <c r="C60" s="9">
        <v>37</v>
      </c>
      <c r="D60" s="9">
        <v>1</v>
      </c>
      <c r="E60" s="12">
        <v>169.3</v>
      </c>
      <c r="F60" s="8">
        <v>3</v>
      </c>
      <c r="G60" s="8">
        <v>3</v>
      </c>
      <c r="H60" s="8">
        <v>3</v>
      </c>
      <c r="I60" s="8">
        <v>9</v>
      </c>
      <c r="J60" s="8" t="s">
        <v>42</v>
      </c>
    </row>
    <row r="61" spans="2:10" x14ac:dyDescent="0.3">
      <c r="B61" s="3" t="s">
        <v>181</v>
      </c>
      <c r="C61" s="5">
        <v>37</v>
      </c>
      <c r="D61" s="5">
        <v>1</v>
      </c>
      <c r="E61" s="11">
        <v>258.89999999999998</v>
      </c>
      <c r="F61" s="4">
        <v>3</v>
      </c>
      <c r="G61" s="4">
        <v>3</v>
      </c>
      <c r="H61" s="4">
        <v>3</v>
      </c>
      <c r="I61" s="4">
        <v>9</v>
      </c>
      <c r="J61" s="4" t="s">
        <v>42</v>
      </c>
    </row>
    <row r="62" spans="2:10" x14ac:dyDescent="0.3">
      <c r="B62" s="7" t="s">
        <v>182</v>
      </c>
      <c r="C62" s="9">
        <v>37</v>
      </c>
      <c r="D62" s="9">
        <v>1</v>
      </c>
      <c r="E62" s="12">
        <v>265.64</v>
      </c>
      <c r="F62" s="8">
        <v>3</v>
      </c>
      <c r="G62" s="8">
        <v>3</v>
      </c>
      <c r="H62" s="8">
        <v>3</v>
      </c>
      <c r="I62" s="8">
        <v>9</v>
      </c>
      <c r="J62" s="8" t="s">
        <v>42</v>
      </c>
    </row>
    <row r="63" spans="2:10" x14ac:dyDescent="0.3">
      <c r="B63" s="3" t="s">
        <v>183</v>
      </c>
      <c r="C63" s="5">
        <v>37</v>
      </c>
      <c r="D63" s="5">
        <v>1</v>
      </c>
      <c r="E63" s="11">
        <v>318.3</v>
      </c>
      <c r="F63" s="4">
        <v>3</v>
      </c>
      <c r="G63" s="4">
        <v>3</v>
      </c>
      <c r="H63" s="4">
        <v>3</v>
      </c>
      <c r="I63" s="4">
        <v>9</v>
      </c>
      <c r="J63" s="4" t="s">
        <v>42</v>
      </c>
    </row>
    <row r="64" spans="2:10" x14ac:dyDescent="0.3">
      <c r="B64" s="7" t="s">
        <v>184</v>
      </c>
      <c r="C64" s="9">
        <v>37</v>
      </c>
      <c r="D64" s="9">
        <v>1</v>
      </c>
      <c r="E64" s="12">
        <v>336.83</v>
      </c>
      <c r="F64" s="8">
        <v>3</v>
      </c>
      <c r="G64" s="8">
        <v>3</v>
      </c>
      <c r="H64" s="8">
        <v>3</v>
      </c>
      <c r="I64" s="8">
        <v>9</v>
      </c>
      <c r="J64" s="8" t="s">
        <v>42</v>
      </c>
    </row>
    <row r="65" spans="2:10" x14ac:dyDescent="0.3">
      <c r="B65" s="3" t="s">
        <v>185</v>
      </c>
      <c r="C65" s="5">
        <v>37</v>
      </c>
      <c r="D65" s="5">
        <v>1</v>
      </c>
      <c r="E65" s="11">
        <v>403.25</v>
      </c>
      <c r="F65" s="4">
        <v>3</v>
      </c>
      <c r="G65" s="4">
        <v>3</v>
      </c>
      <c r="H65" s="4">
        <v>3</v>
      </c>
      <c r="I65" s="4">
        <v>9</v>
      </c>
      <c r="J65" s="4" t="s">
        <v>42</v>
      </c>
    </row>
    <row r="66" spans="2:10" x14ac:dyDescent="0.3">
      <c r="B66" s="7" t="s">
        <v>186</v>
      </c>
      <c r="C66" s="9">
        <v>37</v>
      </c>
      <c r="D66" s="9">
        <v>1</v>
      </c>
      <c r="E66" s="12">
        <v>413.58</v>
      </c>
      <c r="F66" s="8">
        <v>3</v>
      </c>
      <c r="G66" s="8">
        <v>3</v>
      </c>
      <c r="H66" s="8">
        <v>3</v>
      </c>
      <c r="I66" s="8">
        <v>9</v>
      </c>
      <c r="J66" s="8" t="s">
        <v>42</v>
      </c>
    </row>
    <row r="67" spans="2:10" x14ac:dyDescent="0.3">
      <c r="B67" s="3" t="s">
        <v>187</v>
      </c>
      <c r="C67" s="5">
        <v>37</v>
      </c>
      <c r="D67" s="5">
        <v>1</v>
      </c>
      <c r="E67" s="11">
        <v>459.34</v>
      </c>
      <c r="F67" s="4">
        <v>3</v>
      </c>
      <c r="G67" s="4">
        <v>3</v>
      </c>
      <c r="H67" s="4">
        <v>3</v>
      </c>
      <c r="I67" s="4">
        <v>9</v>
      </c>
      <c r="J67" s="4" t="s">
        <v>42</v>
      </c>
    </row>
    <row r="68" spans="2:10" x14ac:dyDescent="0.3">
      <c r="B68" s="7" t="s">
        <v>188</v>
      </c>
      <c r="C68" s="9">
        <v>37</v>
      </c>
      <c r="D68" s="9">
        <v>1</v>
      </c>
      <c r="E68" s="12">
        <v>489.9</v>
      </c>
      <c r="F68" s="8">
        <v>3</v>
      </c>
      <c r="G68" s="8">
        <v>3</v>
      </c>
      <c r="H68" s="8">
        <v>3</v>
      </c>
      <c r="I68" s="8">
        <v>9</v>
      </c>
      <c r="J68" s="8" t="s">
        <v>42</v>
      </c>
    </row>
    <row r="69" spans="2:10" x14ac:dyDescent="0.3">
      <c r="B69" s="3" t="s">
        <v>189</v>
      </c>
      <c r="C69" s="5">
        <v>37</v>
      </c>
      <c r="D69" s="5">
        <v>1</v>
      </c>
      <c r="E69" s="11">
        <v>494.1</v>
      </c>
      <c r="F69" s="4">
        <v>3</v>
      </c>
      <c r="G69" s="4">
        <v>3</v>
      </c>
      <c r="H69" s="4">
        <v>3</v>
      </c>
      <c r="I69" s="4">
        <v>9</v>
      </c>
      <c r="J69" s="4" t="s">
        <v>42</v>
      </c>
    </row>
    <row r="70" spans="2:10" x14ac:dyDescent="0.3">
      <c r="B70" s="7" t="s">
        <v>190</v>
      </c>
      <c r="C70" s="9">
        <v>37</v>
      </c>
      <c r="D70" s="9">
        <v>1</v>
      </c>
      <c r="E70" s="12">
        <v>514.37</v>
      </c>
      <c r="F70" s="8">
        <v>3</v>
      </c>
      <c r="G70" s="8">
        <v>3</v>
      </c>
      <c r="H70" s="8">
        <v>3</v>
      </c>
      <c r="I70" s="8">
        <v>9</v>
      </c>
      <c r="J70" s="8" t="s">
        <v>42</v>
      </c>
    </row>
    <row r="71" spans="2:10" x14ac:dyDescent="0.3">
      <c r="B71" s="3" t="s">
        <v>191</v>
      </c>
      <c r="C71" s="5">
        <v>37</v>
      </c>
      <c r="D71" s="5">
        <v>1</v>
      </c>
      <c r="E71" s="11">
        <v>1024.76</v>
      </c>
      <c r="F71" s="4">
        <v>3</v>
      </c>
      <c r="G71" s="4">
        <v>3</v>
      </c>
      <c r="H71" s="4">
        <v>3</v>
      </c>
      <c r="I71" s="4">
        <v>9</v>
      </c>
      <c r="J71" s="4" t="s">
        <v>42</v>
      </c>
    </row>
    <row r="72" spans="2:10" x14ac:dyDescent="0.3">
      <c r="B72" s="7" t="s">
        <v>192</v>
      </c>
      <c r="C72" s="9">
        <v>37</v>
      </c>
      <c r="D72" s="9">
        <v>1</v>
      </c>
      <c r="E72" s="12">
        <v>2328.4</v>
      </c>
      <c r="F72" s="8">
        <v>3</v>
      </c>
      <c r="G72" s="8">
        <v>3</v>
      </c>
      <c r="H72" s="8">
        <v>3</v>
      </c>
      <c r="I72" s="8">
        <v>9</v>
      </c>
      <c r="J72" s="8" t="s">
        <v>42</v>
      </c>
    </row>
    <row r="73" spans="2:10" x14ac:dyDescent="0.3">
      <c r="B73" s="3" t="s">
        <v>193</v>
      </c>
      <c r="C73" s="5">
        <v>37</v>
      </c>
      <c r="D73" s="5">
        <v>2</v>
      </c>
      <c r="E73" s="11">
        <v>467.58</v>
      </c>
      <c r="F73" s="4">
        <v>3</v>
      </c>
      <c r="G73" s="4">
        <v>3</v>
      </c>
      <c r="H73" s="4">
        <v>3</v>
      </c>
      <c r="I73" s="4">
        <v>9</v>
      </c>
      <c r="J73" s="4" t="s">
        <v>42</v>
      </c>
    </row>
    <row r="74" spans="2:10" x14ac:dyDescent="0.3">
      <c r="B74" s="7" t="s">
        <v>194</v>
      </c>
      <c r="C74" s="9">
        <v>38</v>
      </c>
      <c r="D74" s="9">
        <v>1</v>
      </c>
      <c r="E74" s="12">
        <v>155.93</v>
      </c>
      <c r="F74" s="8">
        <v>3</v>
      </c>
      <c r="G74" s="8">
        <v>3</v>
      </c>
      <c r="H74" s="8">
        <v>3</v>
      </c>
      <c r="I74" s="8">
        <v>9</v>
      </c>
      <c r="J74" s="8" t="s">
        <v>42</v>
      </c>
    </row>
    <row r="75" spans="2:10" x14ac:dyDescent="0.3">
      <c r="B75" s="3" t="s">
        <v>195</v>
      </c>
      <c r="C75" s="5">
        <v>38</v>
      </c>
      <c r="D75" s="5">
        <v>1</v>
      </c>
      <c r="E75" s="11">
        <v>157.30000000000001</v>
      </c>
      <c r="F75" s="4">
        <v>3</v>
      </c>
      <c r="G75" s="4">
        <v>3</v>
      </c>
      <c r="H75" s="4">
        <v>3</v>
      </c>
      <c r="I75" s="4">
        <v>9</v>
      </c>
      <c r="J75" s="4" t="s">
        <v>42</v>
      </c>
    </row>
    <row r="76" spans="2:10" x14ac:dyDescent="0.3">
      <c r="B76" s="7" t="s">
        <v>196</v>
      </c>
      <c r="C76" s="9">
        <v>38</v>
      </c>
      <c r="D76" s="9">
        <v>1</v>
      </c>
      <c r="E76" s="12">
        <v>157.97</v>
      </c>
      <c r="F76" s="8">
        <v>3</v>
      </c>
      <c r="G76" s="8">
        <v>3</v>
      </c>
      <c r="H76" s="8">
        <v>3</v>
      </c>
      <c r="I76" s="8">
        <v>9</v>
      </c>
      <c r="J76" s="8" t="s">
        <v>42</v>
      </c>
    </row>
    <row r="77" spans="2:10" x14ac:dyDescent="0.3">
      <c r="B77" s="3" t="s">
        <v>197</v>
      </c>
      <c r="C77" s="5">
        <v>38</v>
      </c>
      <c r="D77" s="5">
        <v>1</v>
      </c>
      <c r="E77" s="11">
        <v>162.06</v>
      </c>
      <c r="F77" s="4">
        <v>3</v>
      </c>
      <c r="G77" s="4">
        <v>3</v>
      </c>
      <c r="H77" s="4">
        <v>3</v>
      </c>
      <c r="I77" s="4">
        <v>9</v>
      </c>
      <c r="J77" s="4" t="s">
        <v>42</v>
      </c>
    </row>
    <row r="78" spans="2:10" x14ac:dyDescent="0.3">
      <c r="B78" s="7" t="s">
        <v>198</v>
      </c>
      <c r="C78" s="9">
        <v>38</v>
      </c>
      <c r="D78" s="9">
        <v>1</v>
      </c>
      <c r="E78" s="12">
        <v>164.81</v>
      </c>
      <c r="F78" s="8">
        <v>3</v>
      </c>
      <c r="G78" s="8">
        <v>3</v>
      </c>
      <c r="H78" s="8">
        <v>3</v>
      </c>
      <c r="I78" s="8">
        <v>9</v>
      </c>
      <c r="J78" s="8" t="s">
        <v>42</v>
      </c>
    </row>
    <row r="79" spans="2:10" x14ac:dyDescent="0.3">
      <c r="B79" s="3" t="s">
        <v>199</v>
      </c>
      <c r="C79" s="5">
        <v>38</v>
      </c>
      <c r="D79" s="5">
        <v>1</v>
      </c>
      <c r="E79" s="11">
        <v>168.86</v>
      </c>
      <c r="F79" s="4">
        <v>3</v>
      </c>
      <c r="G79" s="4">
        <v>3</v>
      </c>
      <c r="H79" s="4">
        <v>3</v>
      </c>
      <c r="I79" s="4">
        <v>9</v>
      </c>
      <c r="J79" s="4" t="s">
        <v>42</v>
      </c>
    </row>
    <row r="80" spans="2:10" x14ac:dyDescent="0.3">
      <c r="B80" s="7" t="s">
        <v>200</v>
      </c>
      <c r="C80" s="9">
        <v>38</v>
      </c>
      <c r="D80" s="9">
        <v>1</v>
      </c>
      <c r="E80" s="12">
        <v>176.99</v>
      </c>
      <c r="F80" s="8">
        <v>3</v>
      </c>
      <c r="G80" s="8">
        <v>3</v>
      </c>
      <c r="H80" s="8">
        <v>3</v>
      </c>
      <c r="I80" s="8">
        <v>9</v>
      </c>
      <c r="J80" s="8" t="s">
        <v>42</v>
      </c>
    </row>
    <row r="81" spans="2:10" x14ac:dyDescent="0.3">
      <c r="B81" s="3" t="s">
        <v>201</v>
      </c>
      <c r="C81" s="5">
        <v>38</v>
      </c>
      <c r="D81" s="5">
        <v>1</v>
      </c>
      <c r="E81" s="11">
        <v>188.41</v>
      </c>
      <c r="F81" s="4">
        <v>3</v>
      </c>
      <c r="G81" s="4">
        <v>3</v>
      </c>
      <c r="H81" s="4">
        <v>3</v>
      </c>
      <c r="I81" s="4">
        <v>9</v>
      </c>
      <c r="J81" s="4" t="s">
        <v>42</v>
      </c>
    </row>
    <row r="82" spans="2:10" x14ac:dyDescent="0.3">
      <c r="B82" s="7" t="s">
        <v>202</v>
      </c>
      <c r="C82" s="9">
        <v>38</v>
      </c>
      <c r="D82" s="9">
        <v>1</v>
      </c>
      <c r="E82" s="12">
        <v>199.07</v>
      </c>
      <c r="F82" s="8">
        <v>3</v>
      </c>
      <c r="G82" s="8">
        <v>3</v>
      </c>
      <c r="H82" s="8">
        <v>3</v>
      </c>
      <c r="I82" s="8">
        <v>9</v>
      </c>
      <c r="J82" s="8" t="s">
        <v>42</v>
      </c>
    </row>
    <row r="83" spans="2:10" x14ac:dyDescent="0.3">
      <c r="B83" s="3" t="s">
        <v>203</v>
      </c>
      <c r="C83" s="5">
        <v>38</v>
      </c>
      <c r="D83" s="5">
        <v>1</v>
      </c>
      <c r="E83" s="11">
        <v>210.14</v>
      </c>
      <c r="F83" s="4">
        <v>3</v>
      </c>
      <c r="G83" s="4">
        <v>3</v>
      </c>
      <c r="H83" s="4">
        <v>3</v>
      </c>
      <c r="I83" s="4">
        <v>9</v>
      </c>
      <c r="J83" s="4" t="s">
        <v>42</v>
      </c>
    </row>
    <row r="84" spans="2:10" x14ac:dyDescent="0.3">
      <c r="B84" s="7" t="s">
        <v>204</v>
      </c>
      <c r="C84" s="9">
        <v>38</v>
      </c>
      <c r="D84" s="9">
        <v>1</v>
      </c>
      <c r="E84" s="12">
        <v>211.58</v>
      </c>
      <c r="F84" s="8">
        <v>3</v>
      </c>
      <c r="G84" s="8">
        <v>3</v>
      </c>
      <c r="H84" s="8">
        <v>3</v>
      </c>
      <c r="I84" s="8">
        <v>9</v>
      </c>
      <c r="J84" s="8" t="s">
        <v>42</v>
      </c>
    </row>
    <row r="85" spans="2:10" x14ac:dyDescent="0.3">
      <c r="B85" s="3" t="s">
        <v>205</v>
      </c>
      <c r="C85" s="5">
        <v>38</v>
      </c>
      <c r="D85" s="5">
        <v>1</v>
      </c>
      <c r="E85" s="11">
        <v>217.18</v>
      </c>
      <c r="F85" s="4">
        <v>3</v>
      </c>
      <c r="G85" s="4">
        <v>3</v>
      </c>
      <c r="H85" s="4">
        <v>3</v>
      </c>
      <c r="I85" s="4">
        <v>9</v>
      </c>
      <c r="J85" s="4" t="s">
        <v>42</v>
      </c>
    </row>
    <row r="86" spans="2:10" x14ac:dyDescent="0.3">
      <c r="B86" s="7" t="s">
        <v>206</v>
      </c>
      <c r="C86" s="9">
        <v>38</v>
      </c>
      <c r="D86" s="9">
        <v>1</v>
      </c>
      <c r="E86" s="12">
        <v>234.75</v>
      </c>
      <c r="F86" s="8">
        <v>3</v>
      </c>
      <c r="G86" s="8">
        <v>3</v>
      </c>
      <c r="H86" s="8">
        <v>3</v>
      </c>
      <c r="I86" s="8">
        <v>9</v>
      </c>
      <c r="J86" s="8" t="s">
        <v>42</v>
      </c>
    </row>
    <row r="87" spans="2:10" x14ac:dyDescent="0.3">
      <c r="B87" s="3" t="s">
        <v>207</v>
      </c>
      <c r="C87" s="5">
        <v>38</v>
      </c>
      <c r="D87" s="5">
        <v>1</v>
      </c>
      <c r="E87" s="11">
        <v>239.64</v>
      </c>
      <c r="F87" s="4">
        <v>3</v>
      </c>
      <c r="G87" s="4">
        <v>3</v>
      </c>
      <c r="H87" s="4">
        <v>3</v>
      </c>
      <c r="I87" s="4">
        <v>9</v>
      </c>
      <c r="J87" s="4" t="s">
        <v>42</v>
      </c>
    </row>
    <row r="88" spans="2:10" x14ac:dyDescent="0.3">
      <c r="B88" s="7" t="s">
        <v>208</v>
      </c>
      <c r="C88" s="9">
        <v>38</v>
      </c>
      <c r="D88" s="9">
        <v>1</v>
      </c>
      <c r="E88" s="12">
        <v>259.01</v>
      </c>
      <c r="F88" s="8">
        <v>3</v>
      </c>
      <c r="G88" s="8">
        <v>3</v>
      </c>
      <c r="H88" s="8">
        <v>3</v>
      </c>
      <c r="I88" s="8">
        <v>9</v>
      </c>
      <c r="J88" s="8" t="s">
        <v>42</v>
      </c>
    </row>
    <row r="89" spans="2:10" x14ac:dyDescent="0.3">
      <c r="B89" s="3" t="s">
        <v>209</v>
      </c>
      <c r="C89" s="5">
        <v>38</v>
      </c>
      <c r="D89" s="5">
        <v>1</v>
      </c>
      <c r="E89" s="11">
        <v>264.33</v>
      </c>
      <c r="F89" s="4">
        <v>3</v>
      </c>
      <c r="G89" s="4">
        <v>3</v>
      </c>
      <c r="H89" s="4">
        <v>3</v>
      </c>
      <c r="I89" s="4">
        <v>9</v>
      </c>
      <c r="J89" s="4" t="s">
        <v>42</v>
      </c>
    </row>
    <row r="90" spans="2:10" x14ac:dyDescent="0.3">
      <c r="B90" s="7" t="s">
        <v>210</v>
      </c>
      <c r="C90" s="9">
        <v>38</v>
      </c>
      <c r="D90" s="9">
        <v>1</v>
      </c>
      <c r="E90" s="12">
        <v>275.45</v>
      </c>
      <c r="F90" s="8">
        <v>3</v>
      </c>
      <c r="G90" s="8">
        <v>3</v>
      </c>
      <c r="H90" s="8">
        <v>3</v>
      </c>
      <c r="I90" s="8">
        <v>9</v>
      </c>
      <c r="J90" s="8" t="s">
        <v>42</v>
      </c>
    </row>
    <row r="91" spans="2:10" x14ac:dyDescent="0.3">
      <c r="B91" s="3" t="s">
        <v>211</v>
      </c>
      <c r="C91" s="5">
        <v>38</v>
      </c>
      <c r="D91" s="5">
        <v>1</v>
      </c>
      <c r="E91" s="11">
        <v>300.08</v>
      </c>
      <c r="F91" s="4">
        <v>3</v>
      </c>
      <c r="G91" s="4">
        <v>3</v>
      </c>
      <c r="H91" s="4">
        <v>3</v>
      </c>
      <c r="I91" s="4">
        <v>9</v>
      </c>
      <c r="J91" s="4" t="s">
        <v>42</v>
      </c>
    </row>
    <row r="92" spans="2:10" x14ac:dyDescent="0.3">
      <c r="B92" s="7" t="s">
        <v>212</v>
      </c>
      <c r="C92" s="9">
        <v>38</v>
      </c>
      <c r="D92" s="9">
        <v>1</v>
      </c>
      <c r="E92" s="12">
        <v>303.68</v>
      </c>
      <c r="F92" s="8">
        <v>3</v>
      </c>
      <c r="G92" s="8">
        <v>3</v>
      </c>
      <c r="H92" s="8">
        <v>3</v>
      </c>
      <c r="I92" s="8">
        <v>9</v>
      </c>
      <c r="J92" s="8" t="s">
        <v>42</v>
      </c>
    </row>
    <row r="93" spans="2:10" x14ac:dyDescent="0.3">
      <c r="B93" s="3" t="s">
        <v>213</v>
      </c>
      <c r="C93" s="5">
        <v>38</v>
      </c>
      <c r="D93" s="5">
        <v>1</v>
      </c>
      <c r="E93" s="11">
        <v>360.48</v>
      </c>
      <c r="F93" s="4">
        <v>3</v>
      </c>
      <c r="G93" s="4">
        <v>3</v>
      </c>
      <c r="H93" s="4">
        <v>3</v>
      </c>
      <c r="I93" s="4">
        <v>9</v>
      </c>
      <c r="J93" s="4" t="s">
        <v>42</v>
      </c>
    </row>
    <row r="94" spans="2:10" x14ac:dyDescent="0.3">
      <c r="B94" s="7" t="s">
        <v>214</v>
      </c>
      <c r="C94" s="9">
        <v>38</v>
      </c>
      <c r="D94" s="9">
        <v>1</v>
      </c>
      <c r="E94" s="12">
        <v>365.38</v>
      </c>
      <c r="F94" s="8">
        <v>3</v>
      </c>
      <c r="G94" s="8">
        <v>3</v>
      </c>
      <c r="H94" s="8">
        <v>3</v>
      </c>
      <c r="I94" s="8">
        <v>9</v>
      </c>
      <c r="J94" s="8" t="s">
        <v>42</v>
      </c>
    </row>
    <row r="95" spans="2:10" x14ac:dyDescent="0.3">
      <c r="B95" s="3" t="s">
        <v>215</v>
      </c>
      <c r="C95" s="5">
        <v>38</v>
      </c>
      <c r="D95" s="5">
        <v>1</v>
      </c>
      <c r="E95" s="11">
        <v>493.51</v>
      </c>
      <c r="F95" s="4">
        <v>3</v>
      </c>
      <c r="G95" s="4">
        <v>3</v>
      </c>
      <c r="H95" s="4">
        <v>3</v>
      </c>
      <c r="I95" s="4">
        <v>9</v>
      </c>
      <c r="J95" s="4" t="s">
        <v>42</v>
      </c>
    </row>
    <row r="96" spans="2:10" x14ac:dyDescent="0.3">
      <c r="B96" s="7" t="s">
        <v>216</v>
      </c>
      <c r="C96" s="9">
        <v>38</v>
      </c>
      <c r="D96" s="9">
        <v>2</v>
      </c>
      <c r="E96" s="12">
        <v>158.51</v>
      </c>
      <c r="F96" s="8">
        <v>3</v>
      </c>
      <c r="G96" s="8">
        <v>3</v>
      </c>
      <c r="H96" s="8">
        <v>3</v>
      </c>
      <c r="I96" s="8">
        <v>9</v>
      </c>
      <c r="J96" s="8" t="s">
        <v>42</v>
      </c>
    </row>
    <row r="97" spans="2:10" x14ac:dyDescent="0.3">
      <c r="B97" s="3" t="s">
        <v>217</v>
      </c>
      <c r="C97" s="5">
        <v>38</v>
      </c>
      <c r="D97" s="5">
        <v>2</v>
      </c>
      <c r="E97" s="11">
        <v>365.32</v>
      </c>
      <c r="F97" s="4">
        <v>3</v>
      </c>
      <c r="G97" s="4">
        <v>3</v>
      </c>
      <c r="H97" s="4">
        <v>3</v>
      </c>
      <c r="I97" s="4">
        <v>9</v>
      </c>
      <c r="J97" s="4" t="s">
        <v>42</v>
      </c>
    </row>
    <row r="98" spans="2:10" x14ac:dyDescent="0.3">
      <c r="B98" s="7" t="s">
        <v>218</v>
      </c>
      <c r="C98" s="9">
        <v>39</v>
      </c>
      <c r="D98" s="9">
        <v>1</v>
      </c>
      <c r="E98" s="12">
        <v>155.97999999999999</v>
      </c>
      <c r="F98" s="8">
        <v>3</v>
      </c>
      <c r="G98" s="8">
        <v>3</v>
      </c>
      <c r="H98" s="8">
        <v>3</v>
      </c>
      <c r="I98" s="8">
        <v>9</v>
      </c>
      <c r="J98" s="8" t="s">
        <v>42</v>
      </c>
    </row>
    <row r="99" spans="2:10" x14ac:dyDescent="0.3">
      <c r="B99" s="3" t="s">
        <v>219</v>
      </c>
      <c r="C99" s="5">
        <v>39</v>
      </c>
      <c r="D99" s="5">
        <v>1</v>
      </c>
      <c r="E99" s="11">
        <v>157.16</v>
      </c>
      <c r="F99" s="4">
        <v>3</v>
      </c>
      <c r="G99" s="4">
        <v>3</v>
      </c>
      <c r="H99" s="4">
        <v>3</v>
      </c>
      <c r="I99" s="4">
        <v>9</v>
      </c>
      <c r="J99" s="4" t="s">
        <v>42</v>
      </c>
    </row>
    <row r="100" spans="2:10" x14ac:dyDescent="0.3">
      <c r="B100" s="7" t="s">
        <v>220</v>
      </c>
      <c r="C100" s="9">
        <v>39</v>
      </c>
      <c r="D100" s="9">
        <v>1</v>
      </c>
      <c r="E100" s="12">
        <v>158.74</v>
      </c>
      <c r="F100" s="8">
        <v>3</v>
      </c>
      <c r="G100" s="8">
        <v>3</v>
      </c>
      <c r="H100" s="8">
        <v>3</v>
      </c>
      <c r="I100" s="8">
        <v>9</v>
      </c>
      <c r="J100" s="8" t="s">
        <v>42</v>
      </c>
    </row>
    <row r="101" spans="2:10" x14ac:dyDescent="0.3">
      <c r="B101" s="3" t="s">
        <v>221</v>
      </c>
      <c r="C101" s="5">
        <v>39</v>
      </c>
      <c r="D101" s="5">
        <v>1</v>
      </c>
      <c r="E101" s="11">
        <v>161.79</v>
      </c>
      <c r="F101" s="4">
        <v>3</v>
      </c>
      <c r="G101" s="4">
        <v>3</v>
      </c>
      <c r="H101" s="4">
        <v>3</v>
      </c>
      <c r="I101" s="4">
        <v>9</v>
      </c>
      <c r="J101" s="4" t="s">
        <v>42</v>
      </c>
    </row>
    <row r="102" spans="2:10" x14ac:dyDescent="0.3">
      <c r="B102" s="7" t="s">
        <v>222</v>
      </c>
      <c r="C102" s="9">
        <v>39</v>
      </c>
      <c r="D102" s="9">
        <v>1</v>
      </c>
      <c r="E102" s="12">
        <v>164.25</v>
      </c>
      <c r="F102" s="8">
        <v>3</v>
      </c>
      <c r="G102" s="8">
        <v>3</v>
      </c>
      <c r="H102" s="8">
        <v>3</v>
      </c>
      <c r="I102" s="8">
        <v>9</v>
      </c>
      <c r="J102" s="8" t="s">
        <v>42</v>
      </c>
    </row>
    <row r="103" spans="2:10" x14ac:dyDescent="0.3">
      <c r="B103" s="3" t="s">
        <v>223</v>
      </c>
      <c r="C103" s="5">
        <v>39</v>
      </c>
      <c r="D103" s="5">
        <v>1</v>
      </c>
      <c r="E103" s="11">
        <v>164.28</v>
      </c>
      <c r="F103" s="4">
        <v>3</v>
      </c>
      <c r="G103" s="4">
        <v>3</v>
      </c>
      <c r="H103" s="4">
        <v>3</v>
      </c>
      <c r="I103" s="4">
        <v>9</v>
      </c>
      <c r="J103" s="4" t="s">
        <v>42</v>
      </c>
    </row>
    <row r="104" spans="2:10" x14ac:dyDescent="0.3">
      <c r="B104" s="7" t="s">
        <v>224</v>
      </c>
      <c r="C104" s="9">
        <v>39</v>
      </c>
      <c r="D104" s="9">
        <v>1</v>
      </c>
      <c r="E104" s="12">
        <v>165.26</v>
      </c>
      <c r="F104" s="8">
        <v>3</v>
      </c>
      <c r="G104" s="8">
        <v>3</v>
      </c>
      <c r="H104" s="8">
        <v>3</v>
      </c>
      <c r="I104" s="8">
        <v>9</v>
      </c>
      <c r="J104" s="8" t="s">
        <v>42</v>
      </c>
    </row>
    <row r="105" spans="2:10" x14ac:dyDescent="0.3">
      <c r="B105" s="3" t="s">
        <v>225</v>
      </c>
      <c r="C105" s="5">
        <v>39</v>
      </c>
      <c r="D105" s="5">
        <v>1</v>
      </c>
      <c r="E105" s="11">
        <v>167.26</v>
      </c>
      <c r="F105" s="4">
        <v>3</v>
      </c>
      <c r="G105" s="4">
        <v>3</v>
      </c>
      <c r="H105" s="4">
        <v>3</v>
      </c>
      <c r="I105" s="4">
        <v>9</v>
      </c>
      <c r="J105" s="4" t="s">
        <v>42</v>
      </c>
    </row>
    <row r="106" spans="2:10" x14ac:dyDescent="0.3">
      <c r="B106" s="7" t="s">
        <v>226</v>
      </c>
      <c r="C106" s="9">
        <v>39</v>
      </c>
      <c r="D106" s="9">
        <v>1</v>
      </c>
      <c r="E106" s="12">
        <v>168.14</v>
      </c>
      <c r="F106" s="8">
        <v>3</v>
      </c>
      <c r="G106" s="8">
        <v>3</v>
      </c>
      <c r="H106" s="8">
        <v>3</v>
      </c>
      <c r="I106" s="8">
        <v>9</v>
      </c>
      <c r="J106" s="8" t="s">
        <v>42</v>
      </c>
    </row>
    <row r="107" spans="2:10" x14ac:dyDescent="0.3">
      <c r="B107" s="3" t="s">
        <v>227</v>
      </c>
      <c r="C107" s="5">
        <v>39</v>
      </c>
      <c r="D107" s="5">
        <v>1</v>
      </c>
      <c r="E107" s="11">
        <v>171.59</v>
      </c>
      <c r="F107" s="4">
        <v>3</v>
      </c>
      <c r="G107" s="4">
        <v>3</v>
      </c>
      <c r="H107" s="4">
        <v>3</v>
      </c>
      <c r="I107" s="4">
        <v>9</v>
      </c>
      <c r="J107" s="4" t="s">
        <v>42</v>
      </c>
    </row>
    <row r="108" spans="2:10" x14ac:dyDescent="0.3">
      <c r="B108" s="7" t="s">
        <v>228</v>
      </c>
      <c r="C108" s="9">
        <v>39</v>
      </c>
      <c r="D108" s="9">
        <v>1</v>
      </c>
      <c r="E108" s="12">
        <v>175.33</v>
      </c>
      <c r="F108" s="8">
        <v>3</v>
      </c>
      <c r="G108" s="8">
        <v>3</v>
      </c>
      <c r="H108" s="8">
        <v>3</v>
      </c>
      <c r="I108" s="8">
        <v>9</v>
      </c>
      <c r="J108" s="8" t="s">
        <v>42</v>
      </c>
    </row>
    <row r="109" spans="2:10" x14ac:dyDescent="0.3">
      <c r="B109" s="3" t="s">
        <v>229</v>
      </c>
      <c r="C109" s="5">
        <v>39</v>
      </c>
      <c r="D109" s="5">
        <v>1</v>
      </c>
      <c r="E109" s="11">
        <v>188.89</v>
      </c>
      <c r="F109" s="4">
        <v>3</v>
      </c>
      <c r="G109" s="4">
        <v>3</v>
      </c>
      <c r="H109" s="4">
        <v>3</v>
      </c>
      <c r="I109" s="4">
        <v>9</v>
      </c>
      <c r="J109" s="4" t="s">
        <v>42</v>
      </c>
    </row>
    <row r="110" spans="2:10" x14ac:dyDescent="0.3">
      <c r="B110" s="7" t="s">
        <v>230</v>
      </c>
      <c r="C110" s="9">
        <v>39</v>
      </c>
      <c r="D110" s="9">
        <v>1</v>
      </c>
      <c r="E110" s="12">
        <v>195.61</v>
      </c>
      <c r="F110" s="8">
        <v>3</v>
      </c>
      <c r="G110" s="8">
        <v>3</v>
      </c>
      <c r="H110" s="8">
        <v>3</v>
      </c>
      <c r="I110" s="8">
        <v>9</v>
      </c>
      <c r="J110" s="8" t="s">
        <v>42</v>
      </c>
    </row>
    <row r="111" spans="2:10" x14ac:dyDescent="0.3">
      <c r="B111" s="3" t="s">
        <v>231</v>
      </c>
      <c r="C111" s="5">
        <v>39</v>
      </c>
      <c r="D111" s="5">
        <v>1</v>
      </c>
      <c r="E111" s="11">
        <v>197.49</v>
      </c>
      <c r="F111" s="4">
        <v>3</v>
      </c>
      <c r="G111" s="4">
        <v>3</v>
      </c>
      <c r="H111" s="4">
        <v>3</v>
      </c>
      <c r="I111" s="4">
        <v>9</v>
      </c>
      <c r="J111" s="4" t="s">
        <v>42</v>
      </c>
    </row>
    <row r="112" spans="2:10" x14ac:dyDescent="0.3">
      <c r="B112" s="7" t="s">
        <v>232</v>
      </c>
      <c r="C112" s="9">
        <v>39</v>
      </c>
      <c r="D112" s="9">
        <v>1</v>
      </c>
      <c r="E112" s="12">
        <v>197.95</v>
      </c>
      <c r="F112" s="8">
        <v>3</v>
      </c>
      <c r="G112" s="8">
        <v>3</v>
      </c>
      <c r="H112" s="8">
        <v>3</v>
      </c>
      <c r="I112" s="8">
        <v>9</v>
      </c>
      <c r="J112" s="8" t="s">
        <v>42</v>
      </c>
    </row>
    <row r="113" spans="2:10" x14ac:dyDescent="0.3">
      <c r="B113" s="3" t="s">
        <v>233</v>
      </c>
      <c r="C113" s="5">
        <v>39</v>
      </c>
      <c r="D113" s="5">
        <v>1</v>
      </c>
      <c r="E113" s="11">
        <v>226.06</v>
      </c>
      <c r="F113" s="4">
        <v>3</v>
      </c>
      <c r="G113" s="4">
        <v>3</v>
      </c>
      <c r="H113" s="4">
        <v>3</v>
      </c>
      <c r="I113" s="4">
        <v>9</v>
      </c>
      <c r="J113" s="4" t="s">
        <v>42</v>
      </c>
    </row>
    <row r="114" spans="2:10" x14ac:dyDescent="0.3">
      <c r="B114" s="7" t="s">
        <v>234</v>
      </c>
      <c r="C114" s="9">
        <v>39</v>
      </c>
      <c r="D114" s="9">
        <v>1</v>
      </c>
      <c r="E114" s="12">
        <v>226.23</v>
      </c>
      <c r="F114" s="8">
        <v>3</v>
      </c>
      <c r="G114" s="8">
        <v>3</v>
      </c>
      <c r="H114" s="8">
        <v>3</v>
      </c>
      <c r="I114" s="8">
        <v>9</v>
      </c>
      <c r="J114" s="8" t="s">
        <v>42</v>
      </c>
    </row>
  </sheetData>
  <mergeCells count="4">
    <mergeCell ref="A1:J1"/>
    <mergeCell ref="A2:J2"/>
    <mergeCell ref="B4:F4"/>
    <mergeCell ref="B13:I13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showGridLines="0" zoomScale="85" zoomScaleNormal="85" workbookViewId="0">
      <selection activeCell="L25" sqref="L25"/>
    </sheetView>
  </sheetViews>
  <sheetFormatPr defaultColWidth="8.6640625" defaultRowHeight="14.4" x14ac:dyDescent="0.3"/>
  <cols>
    <col min="1" max="1" width="3" customWidth="1"/>
    <col min="2" max="2" width="26" customWidth="1"/>
    <col min="3" max="4" width="10" customWidth="1"/>
    <col min="5" max="5" width="14" customWidth="1"/>
    <col min="6" max="7" width="12" customWidth="1"/>
    <col min="8" max="8" width="10" customWidth="1"/>
    <col min="9" max="9" width="8" customWidth="1"/>
    <col min="10" max="10" width="17.5546875" customWidth="1"/>
    <col min="11" max="11" width="38.44140625" customWidth="1"/>
    <col min="12" max="12" width="29.33203125" customWidth="1"/>
    <col min="13" max="13" width="13.109375" customWidth="1"/>
    <col min="14" max="14" width="22.33203125" customWidth="1"/>
    <col min="15" max="15" width="31.77734375" customWidth="1"/>
    <col min="16" max="16" width="14.21875" customWidth="1"/>
    <col min="23" max="23" width="11.109375" customWidth="1"/>
  </cols>
  <sheetData>
    <row r="1" spans="1:13" ht="27.75" customHeight="1" x14ac:dyDescent="0.3">
      <c r="A1" s="56" t="s">
        <v>236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x14ac:dyDescent="0.3">
      <c r="A2" s="42" t="s">
        <v>237</v>
      </c>
      <c r="B2" s="42"/>
      <c r="C2" s="42"/>
      <c r="D2" s="42"/>
      <c r="E2" s="42"/>
      <c r="F2" s="42"/>
      <c r="G2" s="42"/>
    </row>
    <row r="4" spans="1:13" ht="19.5" customHeight="1" x14ac:dyDescent="0.3">
      <c r="B4" s="50" t="s">
        <v>238</v>
      </c>
      <c r="C4" s="50"/>
      <c r="D4" s="50"/>
      <c r="E4" s="50"/>
      <c r="F4" s="50"/>
      <c r="G4" s="50"/>
      <c r="H4" s="50"/>
    </row>
    <row r="5" spans="1:13" ht="30" customHeight="1" x14ac:dyDescent="0.3">
      <c r="B5" s="2" t="s">
        <v>29</v>
      </c>
      <c r="C5" s="2" t="s">
        <v>2</v>
      </c>
      <c r="D5" s="2" t="s">
        <v>239</v>
      </c>
      <c r="E5" s="2" t="s">
        <v>3</v>
      </c>
      <c r="F5" s="2" t="s">
        <v>71</v>
      </c>
      <c r="G5" s="2" t="s">
        <v>240</v>
      </c>
      <c r="H5" s="2" t="s">
        <v>30</v>
      </c>
      <c r="I5" s="2" t="s">
        <v>235</v>
      </c>
      <c r="J5" s="34" t="s">
        <v>343</v>
      </c>
      <c r="K5" s="34" t="s">
        <v>357</v>
      </c>
      <c r="L5" s="27" t="s">
        <v>3</v>
      </c>
    </row>
    <row r="6" spans="1:13" x14ac:dyDescent="0.3">
      <c r="B6" s="3" t="s">
        <v>31</v>
      </c>
      <c r="C6" s="5">
        <v>8647</v>
      </c>
      <c r="D6" s="5">
        <v>9465</v>
      </c>
      <c r="E6" s="11">
        <v>1233131.72</v>
      </c>
      <c r="F6" s="11">
        <v>142.61000000000001</v>
      </c>
      <c r="G6" s="11">
        <v>178957.81</v>
      </c>
      <c r="H6" s="6">
        <v>9.33</v>
      </c>
      <c r="I6" s="11">
        <v>1</v>
      </c>
      <c r="J6" s="23" t="s">
        <v>31</v>
      </c>
      <c r="K6" s="5">
        <v>9465</v>
      </c>
      <c r="L6" s="25">
        <v>1233131.72</v>
      </c>
    </row>
    <row r="7" spans="1:13" x14ac:dyDescent="0.3">
      <c r="B7" s="7" t="s">
        <v>32</v>
      </c>
      <c r="C7" s="9">
        <v>5495</v>
      </c>
      <c r="D7" s="9">
        <v>5859</v>
      </c>
      <c r="E7" s="12">
        <v>1166176.98</v>
      </c>
      <c r="F7" s="12">
        <v>212.23</v>
      </c>
      <c r="G7" s="12">
        <v>98156.14</v>
      </c>
      <c r="H7" s="10">
        <v>8.82</v>
      </c>
      <c r="I7" s="12">
        <v>2</v>
      </c>
      <c r="J7" s="24" t="s">
        <v>32</v>
      </c>
      <c r="K7" s="9">
        <v>5859</v>
      </c>
      <c r="L7" s="26">
        <v>1166176.98</v>
      </c>
    </row>
    <row r="8" spans="1:13" x14ac:dyDescent="0.3">
      <c r="B8" s="3" t="s">
        <v>33</v>
      </c>
      <c r="C8" s="5">
        <v>9272</v>
      </c>
      <c r="D8" s="5">
        <v>10953</v>
      </c>
      <c r="E8" s="11">
        <v>1023434.76</v>
      </c>
      <c r="F8" s="11">
        <v>110.38</v>
      </c>
      <c r="G8" s="11">
        <v>201774.5</v>
      </c>
      <c r="H8" s="6">
        <v>7.74</v>
      </c>
      <c r="I8" s="11">
        <v>3</v>
      </c>
      <c r="J8" s="23" t="s">
        <v>33</v>
      </c>
      <c r="K8" s="5">
        <v>10953</v>
      </c>
      <c r="L8" s="25">
        <v>1023434.76</v>
      </c>
    </row>
    <row r="9" spans="1:13" x14ac:dyDescent="0.3">
      <c r="B9" s="7" t="s">
        <v>34</v>
      </c>
      <c r="C9" s="9">
        <v>7530</v>
      </c>
      <c r="D9" s="9">
        <v>8431</v>
      </c>
      <c r="E9" s="12">
        <v>954852.55</v>
      </c>
      <c r="F9" s="12">
        <v>126.81</v>
      </c>
      <c r="G9" s="12">
        <v>163404.35999999999</v>
      </c>
      <c r="H9" s="10">
        <v>7.22</v>
      </c>
      <c r="I9" s="12">
        <v>4</v>
      </c>
      <c r="J9" s="24" t="s">
        <v>34</v>
      </c>
      <c r="K9" s="9">
        <v>8431</v>
      </c>
      <c r="L9" s="26">
        <v>954852.55</v>
      </c>
    </row>
    <row r="10" spans="1:13" x14ac:dyDescent="0.3">
      <c r="B10" s="3" t="s">
        <v>35</v>
      </c>
      <c r="C10" s="5">
        <v>6530</v>
      </c>
      <c r="D10" s="5">
        <v>7644</v>
      </c>
      <c r="E10" s="11">
        <v>888724.61</v>
      </c>
      <c r="F10" s="11">
        <v>136.1</v>
      </c>
      <c r="G10" s="11">
        <v>143999.16</v>
      </c>
      <c r="H10" s="6">
        <v>6.72</v>
      </c>
      <c r="I10" s="11">
        <v>5</v>
      </c>
      <c r="J10" s="28" t="s">
        <v>35</v>
      </c>
      <c r="K10" s="29">
        <v>7644</v>
      </c>
      <c r="L10" s="30">
        <v>888724.61</v>
      </c>
    </row>
    <row r="11" spans="1:13" x14ac:dyDescent="0.3">
      <c r="B11" s="7" t="s">
        <v>36</v>
      </c>
      <c r="C11" s="9">
        <v>6307</v>
      </c>
      <c r="D11" s="9">
        <v>8160</v>
      </c>
      <c r="E11" s="12">
        <v>711927.69</v>
      </c>
      <c r="F11" s="12">
        <v>112.88</v>
      </c>
      <c r="G11" s="12">
        <v>168402.23</v>
      </c>
      <c r="H11" s="10">
        <v>5.38</v>
      </c>
      <c r="I11" s="12">
        <v>6</v>
      </c>
    </row>
    <row r="12" spans="1:13" x14ac:dyDescent="0.3">
      <c r="B12" s="3" t="s">
        <v>37</v>
      </c>
      <c r="C12" s="5">
        <v>5743</v>
      </c>
      <c r="D12" s="5">
        <v>6795</v>
      </c>
      <c r="E12" s="11">
        <v>615628.68999999994</v>
      </c>
      <c r="F12" s="11">
        <v>107.2</v>
      </c>
      <c r="G12" s="11">
        <v>142763.56</v>
      </c>
      <c r="H12" s="6">
        <v>4.66</v>
      </c>
      <c r="I12" s="11">
        <v>7</v>
      </c>
      <c r="J12" s="58" t="s">
        <v>28</v>
      </c>
      <c r="K12" s="58"/>
      <c r="L12" s="58"/>
    </row>
    <row r="13" spans="1:13" x14ac:dyDescent="0.3">
      <c r="B13" s="7" t="s">
        <v>38</v>
      </c>
      <c r="C13" s="9">
        <v>3559</v>
      </c>
      <c r="D13" s="9">
        <v>3718</v>
      </c>
      <c r="E13" s="12">
        <v>610204.1</v>
      </c>
      <c r="F13" s="12">
        <v>171.45</v>
      </c>
      <c r="G13" s="12">
        <v>81476.789999999994</v>
      </c>
      <c r="H13" s="10">
        <v>4.62</v>
      </c>
      <c r="I13" s="12">
        <v>8</v>
      </c>
      <c r="J13" s="2" t="s">
        <v>29</v>
      </c>
      <c r="K13" s="2" t="s">
        <v>3</v>
      </c>
      <c r="L13" s="2" t="s">
        <v>30</v>
      </c>
    </row>
    <row r="14" spans="1:13" x14ac:dyDescent="0.3">
      <c r="B14" s="3" t="s">
        <v>241</v>
      </c>
      <c r="C14" s="5">
        <v>3810</v>
      </c>
      <c r="D14" s="5">
        <v>4140</v>
      </c>
      <c r="E14" s="11">
        <v>578966.65</v>
      </c>
      <c r="F14" s="11">
        <v>151.96</v>
      </c>
      <c r="G14" s="11">
        <v>90488.1</v>
      </c>
      <c r="H14" s="6">
        <v>4.38</v>
      </c>
      <c r="I14" s="11">
        <v>9</v>
      </c>
      <c r="J14" s="3" t="s">
        <v>31</v>
      </c>
      <c r="K14" s="11">
        <v>1233131.72</v>
      </c>
      <c r="L14" s="6">
        <v>9.33</v>
      </c>
    </row>
    <row r="15" spans="1:13" x14ac:dyDescent="0.3">
      <c r="B15" s="7" t="s">
        <v>242</v>
      </c>
      <c r="C15" s="9">
        <v>3804</v>
      </c>
      <c r="D15" s="9">
        <v>4030</v>
      </c>
      <c r="E15" s="12">
        <v>471286.48</v>
      </c>
      <c r="F15" s="12">
        <v>123.89</v>
      </c>
      <c r="G15" s="12">
        <v>75774.58</v>
      </c>
      <c r="H15" s="10">
        <v>3.56</v>
      </c>
      <c r="I15" s="12">
        <v>10</v>
      </c>
      <c r="J15" s="7" t="s">
        <v>32</v>
      </c>
      <c r="K15" s="12">
        <v>1166176.98</v>
      </c>
      <c r="L15" s="10">
        <v>8.82</v>
      </c>
    </row>
    <row r="16" spans="1:13" x14ac:dyDescent="0.3">
      <c r="B16" s="3" t="s">
        <v>243</v>
      </c>
      <c r="C16" s="5">
        <v>3448</v>
      </c>
      <c r="D16" s="5">
        <v>4268</v>
      </c>
      <c r="E16" s="11">
        <v>470495.28</v>
      </c>
      <c r="F16" s="11">
        <v>136.44999999999999</v>
      </c>
      <c r="G16" s="11">
        <v>96650.4</v>
      </c>
      <c r="H16" s="6">
        <v>3.56</v>
      </c>
      <c r="I16" s="11">
        <v>11</v>
      </c>
      <c r="J16" s="3" t="s">
        <v>33</v>
      </c>
      <c r="K16" s="11">
        <v>1023434.76</v>
      </c>
      <c r="L16" s="6">
        <v>7.74</v>
      </c>
    </row>
    <row r="17" spans="2:12" x14ac:dyDescent="0.3">
      <c r="B17" s="7" t="s">
        <v>244</v>
      </c>
      <c r="C17" s="9">
        <v>2809</v>
      </c>
      <c r="D17" s="9">
        <v>2982</v>
      </c>
      <c r="E17" s="12">
        <v>400421.84</v>
      </c>
      <c r="F17" s="12">
        <v>142.55000000000001</v>
      </c>
      <c r="G17" s="12">
        <v>66305.81</v>
      </c>
      <c r="H17" s="10">
        <v>3.03</v>
      </c>
      <c r="I17" s="12">
        <v>12</v>
      </c>
      <c r="J17" s="7" t="s">
        <v>34</v>
      </c>
      <c r="K17" s="12">
        <v>954852.55</v>
      </c>
      <c r="L17" s="10">
        <v>7.22</v>
      </c>
    </row>
    <row r="18" spans="2:12" x14ac:dyDescent="0.3">
      <c r="B18" s="3" t="s">
        <v>245</v>
      </c>
      <c r="C18" s="5">
        <v>3086</v>
      </c>
      <c r="D18" s="5">
        <v>3340</v>
      </c>
      <c r="E18" s="11">
        <v>390144.65</v>
      </c>
      <c r="F18" s="11">
        <v>126.42</v>
      </c>
      <c r="G18" s="11">
        <v>53026.98</v>
      </c>
      <c r="H18" s="6">
        <v>2.95</v>
      </c>
      <c r="I18" s="11">
        <v>13</v>
      </c>
      <c r="J18" s="3" t="s">
        <v>35</v>
      </c>
      <c r="K18" s="11">
        <v>888724.61</v>
      </c>
      <c r="L18" s="6">
        <v>6.72</v>
      </c>
    </row>
    <row r="19" spans="2:12" x14ac:dyDescent="0.3">
      <c r="B19" s="7" t="s">
        <v>246</v>
      </c>
      <c r="C19" s="9">
        <v>4093</v>
      </c>
      <c r="D19" s="9">
        <v>4430</v>
      </c>
      <c r="E19" s="12">
        <v>309860.23</v>
      </c>
      <c r="F19" s="12">
        <v>75.7</v>
      </c>
      <c r="G19" s="12">
        <v>69342.39</v>
      </c>
      <c r="H19" s="10">
        <v>2.34</v>
      </c>
      <c r="I19" s="12">
        <v>14</v>
      </c>
      <c r="J19" s="7" t="s">
        <v>36</v>
      </c>
      <c r="K19" s="12">
        <v>711927.69</v>
      </c>
      <c r="L19" s="10">
        <v>5.38</v>
      </c>
    </row>
    <row r="20" spans="2:12" x14ac:dyDescent="0.3">
      <c r="B20" s="3" t="s">
        <v>247</v>
      </c>
      <c r="C20" s="5">
        <v>1254</v>
      </c>
      <c r="D20" s="5">
        <v>1668</v>
      </c>
      <c r="E20" s="11">
        <v>268154.31</v>
      </c>
      <c r="F20" s="11">
        <v>213.84</v>
      </c>
      <c r="G20" s="11">
        <v>67057.05</v>
      </c>
      <c r="H20" s="6">
        <v>2.0299999999999998</v>
      </c>
      <c r="I20" s="11">
        <v>15</v>
      </c>
      <c r="J20" s="3" t="s">
        <v>37</v>
      </c>
      <c r="K20" s="11">
        <v>615628.68999999994</v>
      </c>
      <c r="L20" s="6">
        <v>4.66</v>
      </c>
    </row>
    <row r="21" spans="2:12" x14ac:dyDescent="0.3">
      <c r="B21" s="7" t="s">
        <v>248</v>
      </c>
      <c r="C21" s="9">
        <v>2264</v>
      </c>
      <c r="D21" s="9">
        <v>2466</v>
      </c>
      <c r="E21" s="12">
        <v>223788.69</v>
      </c>
      <c r="F21" s="12">
        <v>98.85</v>
      </c>
      <c r="G21" s="12">
        <v>45786.36</v>
      </c>
      <c r="H21" s="10">
        <v>1.69</v>
      </c>
      <c r="I21" s="12">
        <v>16</v>
      </c>
      <c r="J21" s="7" t="s">
        <v>38</v>
      </c>
      <c r="K21" s="12">
        <v>610204.1</v>
      </c>
      <c r="L21" s="10">
        <v>4.62</v>
      </c>
    </row>
    <row r="22" spans="2:12" x14ac:dyDescent="0.3">
      <c r="B22" s="3" t="s">
        <v>249</v>
      </c>
      <c r="C22" s="5">
        <v>177</v>
      </c>
      <c r="D22" s="5">
        <v>199</v>
      </c>
      <c r="E22" s="11">
        <v>218684.14</v>
      </c>
      <c r="F22" s="11">
        <v>1235.5</v>
      </c>
      <c r="G22" s="11">
        <v>9665.6200000000008</v>
      </c>
      <c r="H22" s="6">
        <v>1.65</v>
      </c>
      <c r="I22" s="11">
        <v>17</v>
      </c>
    </row>
    <row r="23" spans="2:12" x14ac:dyDescent="0.3">
      <c r="B23" s="7" t="s">
        <v>250</v>
      </c>
      <c r="C23" s="9">
        <v>1688</v>
      </c>
      <c r="D23" s="9">
        <v>1924</v>
      </c>
      <c r="E23" s="12">
        <v>211695.64</v>
      </c>
      <c r="F23" s="12">
        <v>125.41</v>
      </c>
      <c r="G23" s="12">
        <v>38918.559999999998</v>
      </c>
      <c r="H23" s="10">
        <v>1.6</v>
      </c>
      <c r="I23" s="12">
        <v>18</v>
      </c>
    </row>
    <row r="24" spans="2:12" x14ac:dyDescent="0.3">
      <c r="B24" s="3" t="s">
        <v>251</v>
      </c>
      <c r="C24" s="5">
        <v>611</v>
      </c>
      <c r="D24" s="5">
        <v>651</v>
      </c>
      <c r="E24" s="11">
        <v>184315.74</v>
      </c>
      <c r="F24" s="11">
        <v>301.66000000000003</v>
      </c>
      <c r="G24" s="11">
        <v>17871.38</v>
      </c>
      <c r="H24" s="6">
        <v>1.39</v>
      </c>
      <c r="I24" s="11">
        <v>19</v>
      </c>
    </row>
    <row r="25" spans="2:12" x14ac:dyDescent="0.3">
      <c r="B25" s="7" t="s">
        <v>252</v>
      </c>
      <c r="C25" s="9">
        <v>609</v>
      </c>
      <c r="D25" s="9">
        <v>658</v>
      </c>
      <c r="E25" s="12">
        <v>182754.12</v>
      </c>
      <c r="F25" s="12">
        <v>300.08999999999997</v>
      </c>
      <c r="G25" s="12">
        <v>15354.35</v>
      </c>
      <c r="H25" s="10">
        <v>1.38</v>
      </c>
      <c r="I25" s="12">
        <v>20</v>
      </c>
    </row>
    <row r="26" spans="2:12" x14ac:dyDescent="0.3">
      <c r="B26" s="3" t="s">
        <v>253</v>
      </c>
      <c r="C26" s="5">
        <v>1392</v>
      </c>
      <c r="D26" s="5">
        <v>1537</v>
      </c>
      <c r="E26" s="11">
        <v>170726.63</v>
      </c>
      <c r="F26" s="11">
        <v>122.65</v>
      </c>
      <c r="G26" s="11">
        <v>26969.06</v>
      </c>
      <c r="H26" s="6">
        <v>1.29</v>
      </c>
      <c r="I26" s="11">
        <v>21</v>
      </c>
    </row>
    <row r="27" spans="2:12" x14ac:dyDescent="0.3">
      <c r="B27" s="7" t="s">
        <v>254</v>
      </c>
      <c r="C27" s="9">
        <v>2517</v>
      </c>
      <c r="D27" s="9">
        <v>2729</v>
      </c>
      <c r="E27" s="12">
        <v>155043.93</v>
      </c>
      <c r="F27" s="12">
        <v>61.6</v>
      </c>
      <c r="G27" s="12">
        <v>45679.16</v>
      </c>
      <c r="H27" s="10">
        <v>1.17</v>
      </c>
      <c r="I27" s="12">
        <v>22</v>
      </c>
    </row>
    <row r="28" spans="2:12" x14ac:dyDescent="0.3">
      <c r="B28" s="3" t="s">
        <v>255</v>
      </c>
      <c r="C28" s="5">
        <v>1820</v>
      </c>
      <c r="D28" s="5">
        <v>1985</v>
      </c>
      <c r="E28" s="11">
        <v>149329.39000000001</v>
      </c>
      <c r="F28" s="11">
        <v>82.05</v>
      </c>
      <c r="G28" s="11">
        <v>30558.9</v>
      </c>
      <c r="H28" s="6">
        <v>1.1299999999999999</v>
      </c>
      <c r="I28" s="11">
        <v>23</v>
      </c>
    </row>
    <row r="29" spans="2:12" x14ac:dyDescent="0.3">
      <c r="B29" s="7" t="s">
        <v>256</v>
      </c>
      <c r="C29" s="9">
        <v>1018</v>
      </c>
      <c r="D29" s="9">
        <v>1089</v>
      </c>
      <c r="E29" s="12">
        <v>148003.37</v>
      </c>
      <c r="F29" s="12">
        <v>145.38999999999999</v>
      </c>
      <c r="G29" s="12">
        <v>19094.36</v>
      </c>
      <c r="H29" s="10">
        <v>1.1200000000000001</v>
      </c>
      <c r="I29" s="12">
        <v>24</v>
      </c>
    </row>
    <row r="30" spans="2:12" x14ac:dyDescent="0.3">
      <c r="B30" s="3" t="s">
        <v>257</v>
      </c>
      <c r="C30" s="5">
        <v>736</v>
      </c>
      <c r="D30" s="5">
        <v>916</v>
      </c>
      <c r="E30" s="11">
        <v>142108.49</v>
      </c>
      <c r="F30" s="11">
        <v>193.08</v>
      </c>
      <c r="G30" s="11">
        <v>20273.52</v>
      </c>
      <c r="H30" s="6">
        <v>1.07</v>
      </c>
      <c r="I30" s="11">
        <v>25</v>
      </c>
    </row>
    <row r="31" spans="2:12" x14ac:dyDescent="0.3">
      <c r="B31" s="7" t="s">
        <v>258</v>
      </c>
      <c r="C31" s="9">
        <v>1019</v>
      </c>
      <c r="D31" s="9">
        <v>1077</v>
      </c>
      <c r="E31" s="12">
        <v>138701.63</v>
      </c>
      <c r="F31" s="12">
        <v>136.12</v>
      </c>
      <c r="G31" s="12">
        <v>30076.49</v>
      </c>
      <c r="H31" s="10">
        <v>1.05</v>
      </c>
      <c r="I31" s="12">
        <v>26</v>
      </c>
    </row>
    <row r="32" spans="2:12" x14ac:dyDescent="0.3">
      <c r="B32" s="3" t="s">
        <v>259</v>
      </c>
      <c r="C32" s="5">
        <v>227</v>
      </c>
      <c r="D32" s="5">
        <v>231</v>
      </c>
      <c r="E32" s="11">
        <v>107953.95</v>
      </c>
      <c r="F32" s="11">
        <v>475.57</v>
      </c>
      <c r="G32" s="11">
        <v>10254.57</v>
      </c>
      <c r="H32" s="6">
        <v>0.82</v>
      </c>
      <c r="I32" s="11">
        <v>27</v>
      </c>
    </row>
    <row r="33" spans="2:9" x14ac:dyDescent="0.3">
      <c r="B33" s="7" t="s">
        <v>260</v>
      </c>
      <c r="C33" s="9">
        <v>483</v>
      </c>
      <c r="D33" s="9">
        <v>596</v>
      </c>
      <c r="E33" s="12">
        <v>81407.570000000007</v>
      </c>
      <c r="F33" s="12">
        <v>168.55</v>
      </c>
      <c r="G33" s="12">
        <v>13614.8</v>
      </c>
      <c r="H33" s="10">
        <v>0.62</v>
      </c>
      <c r="I33" s="12">
        <v>28</v>
      </c>
    </row>
    <row r="34" spans="2:9" x14ac:dyDescent="0.3">
      <c r="B34" s="3" t="s">
        <v>261</v>
      </c>
      <c r="C34" s="5">
        <v>747</v>
      </c>
      <c r="D34" s="5">
        <v>754</v>
      </c>
      <c r="E34" s="11">
        <v>78832.479999999996</v>
      </c>
      <c r="F34" s="11">
        <v>105.53</v>
      </c>
      <c r="G34" s="11">
        <v>14469.3</v>
      </c>
      <c r="H34" s="6">
        <v>0.6</v>
      </c>
      <c r="I34" s="11">
        <v>29</v>
      </c>
    </row>
    <row r="35" spans="2:9" x14ac:dyDescent="0.3">
      <c r="B35" s="7" t="s">
        <v>262</v>
      </c>
      <c r="C35" s="9">
        <v>177</v>
      </c>
      <c r="D35" s="9">
        <v>206</v>
      </c>
      <c r="E35" s="12">
        <v>70566.100000000006</v>
      </c>
      <c r="F35" s="12">
        <v>398.68</v>
      </c>
      <c r="G35" s="12">
        <v>5637.2</v>
      </c>
      <c r="H35" s="10">
        <v>0.53</v>
      </c>
      <c r="I35" s="12">
        <v>30</v>
      </c>
    </row>
    <row r="36" spans="2:9" x14ac:dyDescent="0.3">
      <c r="B36" s="3" t="s">
        <v>263</v>
      </c>
      <c r="C36" s="5">
        <v>414</v>
      </c>
      <c r="D36" s="5">
        <v>495</v>
      </c>
      <c r="E36" s="11">
        <v>67350.7</v>
      </c>
      <c r="F36" s="11">
        <v>162.68</v>
      </c>
      <c r="G36" s="11">
        <v>17694.37</v>
      </c>
      <c r="H36" s="6">
        <v>0.51</v>
      </c>
      <c r="I36" s="11">
        <v>31</v>
      </c>
    </row>
    <row r="37" spans="2:9" x14ac:dyDescent="0.3">
      <c r="B37" s="7" t="s">
        <v>264</v>
      </c>
      <c r="C37" s="9">
        <v>392</v>
      </c>
      <c r="D37" s="9">
        <v>429</v>
      </c>
      <c r="E37" s="12">
        <v>58008.45</v>
      </c>
      <c r="F37" s="12">
        <v>147.97999999999999</v>
      </c>
      <c r="G37" s="12">
        <v>8429.77</v>
      </c>
      <c r="H37" s="10">
        <v>0.44</v>
      </c>
      <c r="I37" s="12">
        <v>32</v>
      </c>
    </row>
    <row r="38" spans="2:9" x14ac:dyDescent="0.3">
      <c r="B38" s="3" t="s">
        <v>265</v>
      </c>
      <c r="C38" s="5">
        <v>212</v>
      </c>
      <c r="D38" s="5">
        <v>255</v>
      </c>
      <c r="E38" s="11">
        <v>55315.21</v>
      </c>
      <c r="F38" s="11">
        <v>260.92</v>
      </c>
      <c r="G38" s="11">
        <v>4501.33</v>
      </c>
      <c r="H38" s="6">
        <v>0.42</v>
      </c>
      <c r="I38" s="11">
        <v>33</v>
      </c>
    </row>
    <row r="39" spans="2:9" x14ac:dyDescent="0.3">
      <c r="B39" s="7" t="s">
        <v>266</v>
      </c>
      <c r="C39" s="9">
        <v>246</v>
      </c>
      <c r="D39" s="9">
        <v>289</v>
      </c>
      <c r="E39" s="12">
        <v>53323.56</v>
      </c>
      <c r="F39" s="12">
        <v>216.76</v>
      </c>
      <c r="G39" s="12">
        <v>6530.99</v>
      </c>
      <c r="H39" s="10">
        <v>0.4</v>
      </c>
      <c r="I39" s="12">
        <v>34</v>
      </c>
    </row>
    <row r="40" spans="2:9" x14ac:dyDescent="0.3">
      <c r="B40" s="3" t="s">
        <v>267</v>
      </c>
      <c r="C40" s="5">
        <v>348</v>
      </c>
      <c r="D40" s="5">
        <v>362</v>
      </c>
      <c r="E40" s="11">
        <v>50570.6</v>
      </c>
      <c r="F40" s="11">
        <v>145.32</v>
      </c>
      <c r="G40" s="11">
        <v>5684.72</v>
      </c>
      <c r="H40" s="6">
        <v>0.38</v>
      </c>
      <c r="I40" s="11">
        <v>35</v>
      </c>
    </row>
    <row r="41" spans="2:9" x14ac:dyDescent="0.3">
      <c r="B41" s="7" t="s">
        <v>268</v>
      </c>
      <c r="C41" s="9">
        <v>72</v>
      </c>
      <c r="D41" s="9">
        <v>73</v>
      </c>
      <c r="E41" s="12">
        <v>46589.56</v>
      </c>
      <c r="F41" s="12">
        <v>647.08000000000004</v>
      </c>
      <c r="G41" s="12">
        <v>2656.34</v>
      </c>
      <c r="H41" s="10">
        <v>0.35</v>
      </c>
      <c r="I41" s="12">
        <v>36</v>
      </c>
    </row>
    <row r="42" spans="2:9" x14ac:dyDescent="0.3">
      <c r="B42" s="3" t="s">
        <v>269</v>
      </c>
      <c r="C42" s="5">
        <v>241</v>
      </c>
      <c r="D42" s="5">
        <v>274</v>
      </c>
      <c r="E42" s="11">
        <v>45531.98</v>
      </c>
      <c r="F42" s="11">
        <v>188.93</v>
      </c>
      <c r="G42" s="11">
        <v>11540.99</v>
      </c>
      <c r="H42" s="6">
        <v>0.34</v>
      </c>
      <c r="I42" s="11">
        <v>37</v>
      </c>
    </row>
    <row r="43" spans="2:9" x14ac:dyDescent="0.3">
      <c r="B43" s="7" t="s">
        <v>270</v>
      </c>
      <c r="C43" s="9">
        <v>496</v>
      </c>
      <c r="D43" s="9">
        <v>537</v>
      </c>
      <c r="E43" s="12">
        <v>45302.15</v>
      </c>
      <c r="F43" s="12">
        <v>91.33</v>
      </c>
      <c r="G43" s="12">
        <v>8880.39</v>
      </c>
      <c r="H43" s="10">
        <v>0.34</v>
      </c>
      <c r="I43" s="12">
        <v>38</v>
      </c>
    </row>
    <row r="44" spans="2:9" x14ac:dyDescent="0.3">
      <c r="B44" s="3" t="s">
        <v>271</v>
      </c>
      <c r="C44" s="5">
        <v>242</v>
      </c>
      <c r="D44" s="5">
        <v>301</v>
      </c>
      <c r="E44" s="11">
        <v>39957</v>
      </c>
      <c r="F44" s="11">
        <v>165.11</v>
      </c>
      <c r="G44" s="11">
        <v>7490.14</v>
      </c>
      <c r="H44" s="6">
        <v>0.3</v>
      </c>
      <c r="I44" s="11">
        <v>39</v>
      </c>
    </row>
    <row r="45" spans="2:9" x14ac:dyDescent="0.3">
      <c r="B45" s="7" t="s">
        <v>272</v>
      </c>
      <c r="C45" s="9">
        <v>159</v>
      </c>
      <c r="D45" s="9">
        <v>183</v>
      </c>
      <c r="E45" s="12">
        <v>38773.22</v>
      </c>
      <c r="F45" s="12">
        <v>243.86</v>
      </c>
      <c r="G45" s="12">
        <v>3730.8</v>
      </c>
      <c r="H45" s="10">
        <v>0.28999999999999998</v>
      </c>
      <c r="I45" s="12">
        <v>40</v>
      </c>
    </row>
    <row r="46" spans="2:9" x14ac:dyDescent="0.3">
      <c r="B46" s="3" t="s">
        <v>273</v>
      </c>
      <c r="C46" s="5">
        <v>232</v>
      </c>
      <c r="D46" s="5">
        <v>265</v>
      </c>
      <c r="E46" s="11">
        <v>38498.81</v>
      </c>
      <c r="F46" s="11">
        <v>165.94</v>
      </c>
      <c r="G46" s="11">
        <v>7580.53</v>
      </c>
      <c r="H46" s="6">
        <v>0.28999999999999998</v>
      </c>
      <c r="I46" s="11">
        <v>41</v>
      </c>
    </row>
    <row r="47" spans="2:9" x14ac:dyDescent="0.3">
      <c r="B47" s="7" t="s">
        <v>274</v>
      </c>
      <c r="C47" s="9">
        <v>441</v>
      </c>
      <c r="D47" s="9">
        <v>499</v>
      </c>
      <c r="E47" s="12">
        <v>28731.15</v>
      </c>
      <c r="F47" s="12">
        <v>65.150000000000006</v>
      </c>
      <c r="G47" s="12">
        <v>7063.53</v>
      </c>
      <c r="H47" s="10">
        <v>0.22</v>
      </c>
      <c r="I47" s="12">
        <v>42</v>
      </c>
    </row>
    <row r="48" spans="2:9" x14ac:dyDescent="0.3">
      <c r="B48" s="3" t="s">
        <v>275</v>
      </c>
      <c r="C48" s="5">
        <v>274</v>
      </c>
      <c r="D48" s="5">
        <v>305</v>
      </c>
      <c r="E48" s="11">
        <v>27795.77</v>
      </c>
      <c r="F48" s="11">
        <v>101.44</v>
      </c>
      <c r="G48" s="11">
        <v>5318.61</v>
      </c>
      <c r="H48" s="6">
        <v>0.21</v>
      </c>
      <c r="I48" s="11">
        <v>43</v>
      </c>
    </row>
    <row r="49" spans="2:9" x14ac:dyDescent="0.3">
      <c r="B49" s="7" t="s">
        <v>276</v>
      </c>
      <c r="C49" s="9">
        <v>190</v>
      </c>
      <c r="D49" s="9">
        <v>232</v>
      </c>
      <c r="E49" s="12">
        <v>25096.28</v>
      </c>
      <c r="F49" s="12">
        <v>132.09</v>
      </c>
      <c r="G49" s="12">
        <v>5187.66</v>
      </c>
      <c r="H49" s="10">
        <v>0.19</v>
      </c>
      <c r="I49" s="12">
        <v>44</v>
      </c>
    </row>
    <row r="50" spans="2:9" x14ac:dyDescent="0.3">
      <c r="B50" s="3" t="s">
        <v>277</v>
      </c>
      <c r="C50" s="5">
        <v>195</v>
      </c>
      <c r="D50" s="5">
        <v>197</v>
      </c>
      <c r="E50" s="11">
        <v>23657.3</v>
      </c>
      <c r="F50" s="11">
        <v>121.32</v>
      </c>
      <c r="G50" s="11">
        <v>3828.23</v>
      </c>
      <c r="H50" s="6">
        <v>0.18</v>
      </c>
      <c r="I50" s="11">
        <v>45</v>
      </c>
    </row>
    <row r="51" spans="2:9" x14ac:dyDescent="0.3">
      <c r="B51" s="7" t="s">
        <v>278</v>
      </c>
      <c r="C51" s="9">
        <v>235</v>
      </c>
      <c r="D51" s="9">
        <v>257</v>
      </c>
      <c r="E51" s="12">
        <v>23001.46</v>
      </c>
      <c r="F51" s="12">
        <v>97.88</v>
      </c>
      <c r="G51" s="12">
        <v>4813.37</v>
      </c>
      <c r="H51" s="10">
        <v>0.17</v>
      </c>
      <c r="I51" s="12">
        <v>46</v>
      </c>
    </row>
    <row r="52" spans="2:9" x14ac:dyDescent="0.3">
      <c r="B52" s="3" t="s">
        <v>279</v>
      </c>
      <c r="C52" s="5">
        <v>287</v>
      </c>
      <c r="D52" s="5">
        <v>361</v>
      </c>
      <c r="E52" s="11">
        <v>21529.84</v>
      </c>
      <c r="F52" s="11">
        <v>75.02</v>
      </c>
      <c r="G52" s="11">
        <v>5441.27</v>
      </c>
      <c r="H52" s="6">
        <v>0.16</v>
      </c>
      <c r="I52" s="11">
        <v>47</v>
      </c>
    </row>
    <row r="53" spans="2:9" x14ac:dyDescent="0.3">
      <c r="B53" s="7" t="s">
        <v>280</v>
      </c>
      <c r="C53" s="9">
        <v>138</v>
      </c>
      <c r="D53" s="9">
        <v>197</v>
      </c>
      <c r="E53" s="12">
        <v>21315.05</v>
      </c>
      <c r="F53" s="12">
        <v>154.46</v>
      </c>
      <c r="G53" s="12">
        <v>6477.54</v>
      </c>
      <c r="H53" s="10">
        <v>0.16</v>
      </c>
      <c r="I53" s="12">
        <v>48</v>
      </c>
    </row>
    <row r="54" spans="2:9" x14ac:dyDescent="0.3">
      <c r="B54" s="3" t="s">
        <v>281</v>
      </c>
      <c r="C54" s="5">
        <v>90</v>
      </c>
      <c r="D54" s="5">
        <v>103</v>
      </c>
      <c r="E54" s="11">
        <v>19051.8</v>
      </c>
      <c r="F54" s="11">
        <v>211.69</v>
      </c>
      <c r="G54" s="11">
        <v>4327.42</v>
      </c>
      <c r="H54" s="6">
        <v>0.14000000000000001</v>
      </c>
      <c r="I54" s="11">
        <v>49</v>
      </c>
    </row>
    <row r="55" spans="2:9" x14ac:dyDescent="0.3">
      <c r="B55" s="7" t="s">
        <v>282</v>
      </c>
      <c r="C55" s="9">
        <v>256</v>
      </c>
      <c r="D55" s="9">
        <v>263</v>
      </c>
      <c r="E55" s="12">
        <v>18702.23</v>
      </c>
      <c r="F55" s="12">
        <v>73.06</v>
      </c>
      <c r="G55" s="12">
        <v>4198.84</v>
      </c>
      <c r="H55" s="10">
        <v>0.14000000000000001</v>
      </c>
      <c r="I55" s="12">
        <v>50</v>
      </c>
    </row>
    <row r="56" spans="2:9" x14ac:dyDescent="0.3">
      <c r="B56" s="3" t="s">
        <v>283</v>
      </c>
      <c r="C56" s="5">
        <v>97</v>
      </c>
      <c r="D56" s="5">
        <v>103</v>
      </c>
      <c r="E56" s="11">
        <v>15903.95</v>
      </c>
      <c r="F56" s="11">
        <v>163.96</v>
      </c>
      <c r="G56" s="11">
        <v>2030.22</v>
      </c>
      <c r="H56" s="6">
        <v>0.12</v>
      </c>
      <c r="I56" s="11">
        <v>51</v>
      </c>
    </row>
    <row r="57" spans="2:9" x14ac:dyDescent="0.3">
      <c r="B57" s="7" t="s">
        <v>284</v>
      </c>
      <c r="C57" s="9">
        <v>221</v>
      </c>
      <c r="D57" s="9">
        <v>269</v>
      </c>
      <c r="E57" s="12">
        <v>14942.88</v>
      </c>
      <c r="F57" s="12">
        <v>67.61</v>
      </c>
      <c r="G57" s="12">
        <v>4394.8900000000003</v>
      </c>
      <c r="H57" s="10">
        <v>0.11</v>
      </c>
      <c r="I57" s="12">
        <v>52</v>
      </c>
    </row>
    <row r="58" spans="2:9" x14ac:dyDescent="0.3">
      <c r="B58" s="3" t="s">
        <v>285</v>
      </c>
      <c r="C58" s="5">
        <v>106</v>
      </c>
      <c r="D58" s="5">
        <v>125</v>
      </c>
      <c r="E58" s="11">
        <v>10452.33</v>
      </c>
      <c r="F58" s="11">
        <v>98.61</v>
      </c>
      <c r="G58" s="11">
        <v>2062.62</v>
      </c>
      <c r="H58" s="6">
        <v>0.08</v>
      </c>
      <c r="I58" s="11">
        <v>53</v>
      </c>
    </row>
    <row r="59" spans="2:9" x14ac:dyDescent="0.3">
      <c r="B59" s="7" t="s">
        <v>286</v>
      </c>
      <c r="C59" s="9">
        <v>117</v>
      </c>
      <c r="D59" s="9">
        <v>127</v>
      </c>
      <c r="E59" s="12">
        <v>9305.9500000000007</v>
      </c>
      <c r="F59" s="12">
        <v>79.540000000000006</v>
      </c>
      <c r="G59" s="12">
        <v>1854.07</v>
      </c>
      <c r="H59" s="10">
        <v>7.0000000000000007E-2</v>
      </c>
      <c r="I59" s="12">
        <v>54</v>
      </c>
    </row>
    <row r="60" spans="2:9" x14ac:dyDescent="0.3">
      <c r="B60" s="3" t="s">
        <v>287</v>
      </c>
      <c r="C60" s="5">
        <v>125</v>
      </c>
      <c r="D60" s="5">
        <v>150</v>
      </c>
      <c r="E60" s="11">
        <v>8737.84</v>
      </c>
      <c r="F60" s="11">
        <v>69.900000000000006</v>
      </c>
      <c r="G60" s="11">
        <v>3190.91</v>
      </c>
      <c r="H60" s="6">
        <v>7.0000000000000007E-2</v>
      </c>
      <c r="I60" s="11">
        <v>55</v>
      </c>
    </row>
    <row r="61" spans="2:9" x14ac:dyDescent="0.3">
      <c r="B61" s="7" t="s">
        <v>288</v>
      </c>
      <c r="C61" s="9">
        <v>79</v>
      </c>
      <c r="D61" s="9">
        <v>83</v>
      </c>
      <c r="E61" s="12">
        <v>7528.41</v>
      </c>
      <c r="F61" s="12">
        <v>95.3</v>
      </c>
      <c r="G61" s="12">
        <v>1226.2</v>
      </c>
      <c r="H61" s="10">
        <v>0.06</v>
      </c>
      <c r="I61" s="12">
        <v>56</v>
      </c>
    </row>
    <row r="62" spans="2:9" x14ac:dyDescent="0.3">
      <c r="B62" s="3" t="s">
        <v>289</v>
      </c>
      <c r="C62" s="5">
        <v>63</v>
      </c>
      <c r="D62" s="5">
        <v>70</v>
      </c>
      <c r="E62" s="11">
        <v>6674.47</v>
      </c>
      <c r="F62" s="11">
        <v>105.94</v>
      </c>
      <c r="G62" s="11">
        <v>1227.71</v>
      </c>
      <c r="H62" s="6">
        <v>0.05</v>
      </c>
      <c r="I62" s="11">
        <v>57</v>
      </c>
    </row>
    <row r="63" spans="2:9" x14ac:dyDescent="0.3">
      <c r="B63" s="7" t="s">
        <v>290</v>
      </c>
      <c r="C63" s="9">
        <v>38</v>
      </c>
      <c r="D63" s="9">
        <v>38</v>
      </c>
      <c r="E63" s="12">
        <v>6034.35</v>
      </c>
      <c r="F63" s="12">
        <v>158.80000000000001</v>
      </c>
      <c r="G63" s="12">
        <v>690.51</v>
      </c>
      <c r="H63" s="10">
        <v>0.05</v>
      </c>
      <c r="I63" s="12">
        <v>58</v>
      </c>
    </row>
    <row r="64" spans="2:9" x14ac:dyDescent="0.3">
      <c r="B64" s="3" t="s">
        <v>291</v>
      </c>
      <c r="C64" s="5">
        <v>56</v>
      </c>
      <c r="D64" s="5">
        <v>61</v>
      </c>
      <c r="E64" s="11">
        <v>4542.59</v>
      </c>
      <c r="F64" s="11">
        <v>81.12</v>
      </c>
      <c r="G64" s="11">
        <v>1227.25</v>
      </c>
      <c r="H64" s="6">
        <v>0.03</v>
      </c>
      <c r="I64" s="11">
        <v>59</v>
      </c>
    </row>
    <row r="65" spans="2:9" x14ac:dyDescent="0.3">
      <c r="B65" s="7" t="s">
        <v>292</v>
      </c>
      <c r="C65" s="9">
        <v>38</v>
      </c>
      <c r="D65" s="9">
        <v>42</v>
      </c>
      <c r="E65" s="12">
        <v>4465.1899999999996</v>
      </c>
      <c r="F65" s="12">
        <v>117.51</v>
      </c>
      <c r="G65" s="12">
        <v>820.19</v>
      </c>
      <c r="H65" s="10">
        <v>0.03</v>
      </c>
      <c r="I65" s="12">
        <v>60</v>
      </c>
    </row>
    <row r="66" spans="2:9" x14ac:dyDescent="0.3">
      <c r="B66" s="3" t="s">
        <v>293</v>
      </c>
      <c r="C66" s="5">
        <v>50</v>
      </c>
      <c r="D66" s="5">
        <v>57</v>
      </c>
      <c r="E66" s="11">
        <v>4418.8599999999997</v>
      </c>
      <c r="F66" s="11">
        <v>88.38</v>
      </c>
      <c r="G66" s="11">
        <v>732.08</v>
      </c>
      <c r="H66" s="6">
        <v>0.03</v>
      </c>
      <c r="I66" s="11">
        <v>61</v>
      </c>
    </row>
    <row r="67" spans="2:9" x14ac:dyDescent="0.3">
      <c r="B67" s="7" t="s">
        <v>294</v>
      </c>
      <c r="C67" s="9">
        <v>37</v>
      </c>
      <c r="D67" s="9">
        <v>37</v>
      </c>
      <c r="E67" s="12">
        <v>4323.38</v>
      </c>
      <c r="F67" s="12">
        <v>116.85</v>
      </c>
      <c r="G67" s="12">
        <v>1581.37</v>
      </c>
      <c r="H67" s="10">
        <v>0.03</v>
      </c>
      <c r="I67" s="12">
        <v>62</v>
      </c>
    </row>
    <row r="68" spans="2:9" x14ac:dyDescent="0.3">
      <c r="B68" s="3" t="s">
        <v>295</v>
      </c>
      <c r="C68" s="5">
        <v>13</v>
      </c>
      <c r="D68" s="5">
        <v>14</v>
      </c>
      <c r="E68" s="11">
        <v>3933.63</v>
      </c>
      <c r="F68" s="11">
        <v>302.58999999999997</v>
      </c>
      <c r="G68" s="11">
        <v>294.42</v>
      </c>
      <c r="H68" s="6">
        <v>0.03</v>
      </c>
      <c r="I68" s="11">
        <v>63</v>
      </c>
    </row>
    <row r="69" spans="2:9" x14ac:dyDescent="0.3">
      <c r="B69" s="7" t="s">
        <v>296</v>
      </c>
      <c r="C69" s="9">
        <v>36</v>
      </c>
      <c r="D69" s="9">
        <v>45</v>
      </c>
      <c r="E69" s="12">
        <v>2634.94</v>
      </c>
      <c r="F69" s="12">
        <v>73.19</v>
      </c>
      <c r="G69" s="12">
        <v>583.5</v>
      </c>
      <c r="H69" s="10">
        <v>0.02</v>
      </c>
      <c r="I69" s="12">
        <v>64</v>
      </c>
    </row>
    <row r="70" spans="2:9" x14ac:dyDescent="0.3">
      <c r="B70" s="3" t="s">
        <v>297</v>
      </c>
      <c r="C70" s="5">
        <v>26</v>
      </c>
      <c r="D70" s="5">
        <v>29</v>
      </c>
      <c r="E70" s="11">
        <v>2094.52</v>
      </c>
      <c r="F70" s="11">
        <v>80.56</v>
      </c>
      <c r="G70" s="11">
        <v>563.03</v>
      </c>
      <c r="H70" s="6">
        <v>0.02</v>
      </c>
      <c r="I70" s="11">
        <v>65</v>
      </c>
    </row>
    <row r="71" spans="2:9" x14ac:dyDescent="0.3">
      <c r="B71" s="7" t="s">
        <v>298</v>
      </c>
      <c r="C71" s="9">
        <v>13</v>
      </c>
      <c r="D71" s="9">
        <v>14</v>
      </c>
      <c r="E71" s="12">
        <v>2054.9899999999998</v>
      </c>
      <c r="F71" s="12">
        <v>158.08000000000001</v>
      </c>
      <c r="G71" s="12">
        <v>333.55</v>
      </c>
      <c r="H71" s="10">
        <v>0.02</v>
      </c>
      <c r="I71" s="12">
        <v>66</v>
      </c>
    </row>
    <row r="72" spans="2:9" x14ac:dyDescent="0.3">
      <c r="B72" s="3" t="s">
        <v>299</v>
      </c>
      <c r="C72" s="5">
        <v>23</v>
      </c>
      <c r="D72" s="5">
        <v>24</v>
      </c>
      <c r="E72" s="11">
        <v>1814.01</v>
      </c>
      <c r="F72" s="11">
        <v>78.87</v>
      </c>
      <c r="G72" s="11">
        <v>370.13</v>
      </c>
      <c r="H72" s="6">
        <v>0.01</v>
      </c>
      <c r="I72" s="11">
        <v>67</v>
      </c>
    </row>
    <row r="73" spans="2:9" x14ac:dyDescent="0.3">
      <c r="B73" s="7" t="s">
        <v>300</v>
      </c>
      <c r="C73" s="9">
        <v>25</v>
      </c>
      <c r="D73" s="9">
        <v>37</v>
      </c>
      <c r="E73" s="12">
        <v>1500.79</v>
      </c>
      <c r="F73" s="12">
        <v>60.03</v>
      </c>
      <c r="G73" s="12">
        <v>545.4</v>
      </c>
      <c r="H73" s="10">
        <v>0.01</v>
      </c>
      <c r="I73" s="12">
        <v>68</v>
      </c>
    </row>
    <row r="74" spans="2:9" x14ac:dyDescent="0.3">
      <c r="B74" s="3" t="s">
        <v>301</v>
      </c>
      <c r="C74" s="5">
        <v>7</v>
      </c>
      <c r="D74" s="5">
        <v>8</v>
      </c>
      <c r="E74" s="11">
        <v>1306.95</v>
      </c>
      <c r="F74" s="11">
        <v>186.71</v>
      </c>
      <c r="G74" s="11">
        <v>123.15</v>
      </c>
      <c r="H74" s="6">
        <v>0.01</v>
      </c>
      <c r="I74" s="11">
        <v>69</v>
      </c>
    </row>
    <row r="75" spans="2:9" x14ac:dyDescent="0.3">
      <c r="B75" s="7" t="s">
        <v>302</v>
      </c>
      <c r="C75" s="9">
        <v>29</v>
      </c>
      <c r="D75" s="9">
        <v>33</v>
      </c>
      <c r="E75" s="12">
        <v>1110.04</v>
      </c>
      <c r="F75" s="12">
        <v>38.28</v>
      </c>
      <c r="G75" s="12">
        <v>488.87</v>
      </c>
      <c r="H75" s="10">
        <v>0.01</v>
      </c>
      <c r="I75" s="12">
        <v>70</v>
      </c>
    </row>
    <row r="76" spans="2:9" x14ac:dyDescent="0.3">
      <c r="B76" s="3" t="s">
        <v>303</v>
      </c>
      <c r="C76" s="5">
        <v>24</v>
      </c>
      <c r="D76" s="5">
        <v>30</v>
      </c>
      <c r="E76" s="11">
        <v>760.27</v>
      </c>
      <c r="F76" s="11">
        <v>31.68</v>
      </c>
      <c r="G76" s="11">
        <v>410.31</v>
      </c>
      <c r="H76" s="6">
        <v>0.01</v>
      </c>
      <c r="I76" s="11">
        <v>71</v>
      </c>
    </row>
    <row r="77" spans="2:9" x14ac:dyDescent="0.3">
      <c r="B77" s="7" t="s">
        <v>304</v>
      </c>
      <c r="C77" s="9">
        <v>12</v>
      </c>
      <c r="D77" s="9">
        <v>14</v>
      </c>
      <c r="E77" s="12">
        <v>730</v>
      </c>
      <c r="F77" s="12">
        <v>60.83</v>
      </c>
      <c r="G77" s="12">
        <v>224.99</v>
      </c>
      <c r="H77" s="10">
        <v>0.01</v>
      </c>
      <c r="I77" s="12">
        <v>72</v>
      </c>
    </row>
    <row r="78" spans="2:9" x14ac:dyDescent="0.3">
      <c r="B78" s="3" t="s">
        <v>305</v>
      </c>
      <c r="C78" s="5">
        <v>7</v>
      </c>
      <c r="D78" s="5">
        <v>7</v>
      </c>
      <c r="E78" s="11">
        <v>519.95000000000005</v>
      </c>
      <c r="F78" s="11">
        <v>74.28</v>
      </c>
      <c r="G78" s="11">
        <v>78.72</v>
      </c>
      <c r="H78" s="6">
        <v>0</v>
      </c>
      <c r="I78" s="11">
        <v>73</v>
      </c>
    </row>
    <row r="79" spans="2:9" x14ac:dyDescent="0.3">
      <c r="B79" s="7" t="s">
        <v>306</v>
      </c>
      <c r="C79" s="9">
        <v>2</v>
      </c>
      <c r="D79" s="9">
        <v>2</v>
      </c>
      <c r="E79" s="12">
        <v>283.29000000000002</v>
      </c>
      <c r="F79" s="12">
        <v>141.63999999999999</v>
      </c>
      <c r="G79" s="12">
        <v>41.22</v>
      </c>
      <c r="H79" s="10">
        <v>0</v>
      </c>
      <c r="I79" s="12">
        <v>74</v>
      </c>
    </row>
  </sheetData>
  <mergeCells count="4">
    <mergeCell ref="A2:G2"/>
    <mergeCell ref="B4:H4"/>
    <mergeCell ref="A1:M1"/>
    <mergeCell ref="J12:L12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showGridLines="0" topLeftCell="A5" zoomScale="55" zoomScaleNormal="55" workbookViewId="0">
      <selection activeCell="N47" sqref="N47:N51"/>
    </sheetView>
  </sheetViews>
  <sheetFormatPr defaultColWidth="8.6640625" defaultRowHeight="14.4" x14ac:dyDescent="0.3"/>
  <cols>
    <col min="1" max="1" width="3" customWidth="1"/>
    <col min="2" max="3" width="18" customWidth="1"/>
    <col min="4" max="4" width="20" customWidth="1"/>
    <col min="5" max="6" width="12" customWidth="1"/>
    <col min="7" max="7" width="16" customWidth="1"/>
    <col min="8" max="8" width="14" customWidth="1"/>
  </cols>
  <sheetData>
    <row r="1" spans="1:9" ht="27.75" customHeight="1" x14ac:dyDescent="0.3">
      <c r="A1" s="51" t="s">
        <v>308</v>
      </c>
      <c r="B1" s="51"/>
      <c r="C1" s="51"/>
      <c r="D1" s="51"/>
      <c r="E1" s="51"/>
      <c r="F1" s="51"/>
      <c r="G1" s="51"/>
      <c r="H1" s="51"/>
    </row>
    <row r="2" spans="1:9" x14ac:dyDescent="0.3">
      <c r="A2" s="42" t="s">
        <v>309</v>
      </c>
      <c r="B2" s="42"/>
      <c r="C2" s="42"/>
      <c r="D2" s="42"/>
      <c r="E2" s="42"/>
      <c r="F2" s="42"/>
      <c r="G2" s="42"/>
      <c r="H2" s="42"/>
    </row>
    <row r="4" spans="1:9" ht="19.5" customHeight="1" x14ac:dyDescent="0.3">
      <c r="B4" s="57" t="s">
        <v>310</v>
      </c>
      <c r="C4" s="57"/>
      <c r="D4" s="57"/>
      <c r="E4" s="57"/>
      <c r="F4" s="57"/>
    </row>
    <row r="5" spans="1:9" ht="30" customHeight="1" x14ac:dyDescent="0.3">
      <c r="B5" s="2" t="s">
        <v>311</v>
      </c>
      <c r="C5" s="2" t="s">
        <v>312</v>
      </c>
      <c r="D5" s="2" t="s">
        <v>313</v>
      </c>
      <c r="E5" s="2" t="s">
        <v>314</v>
      </c>
      <c r="F5" s="2" t="s">
        <v>315</v>
      </c>
    </row>
    <row r="6" spans="1:9" x14ac:dyDescent="0.3">
      <c r="B6" s="21">
        <v>96470</v>
      </c>
      <c r="C6" s="4">
        <v>12.6</v>
      </c>
      <c r="D6" s="4">
        <v>0.5</v>
      </c>
      <c r="E6" s="4">
        <v>209.6</v>
      </c>
      <c r="F6" s="4">
        <v>23.7</v>
      </c>
    </row>
    <row r="9" spans="1:9" ht="19.5" customHeight="1" x14ac:dyDescent="0.3">
      <c r="B9" s="50" t="s">
        <v>316</v>
      </c>
      <c r="C9" s="50"/>
      <c r="D9" s="50"/>
    </row>
    <row r="10" spans="1:9" ht="30" customHeight="1" x14ac:dyDescent="0.3">
      <c r="B10" s="2" t="s">
        <v>317</v>
      </c>
      <c r="C10" s="2" t="s">
        <v>2</v>
      </c>
      <c r="D10" s="2" t="s">
        <v>318</v>
      </c>
    </row>
    <row r="11" spans="1:9" x14ac:dyDescent="0.3">
      <c r="B11" s="3" t="s">
        <v>319</v>
      </c>
      <c r="C11" s="5">
        <v>7826</v>
      </c>
      <c r="D11" s="6">
        <v>8.1</v>
      </c>
    </row>
    <row r="12" spans="1:9" x14ac:dyDescent="0.3">
      <c r="B12" s="7" t="s">
        <v>320</v>
      </c>
      <c r="C12" s="9">
        <v>88644</v>
      </c>
      <c r="D12" s="10">
        <v>91.9</v>
      </c>
    </row>
    <row r="15" spans="1:9" ht="19.5" customHeight="1" x14ac:dyDescent="0.3">
      <c r="B15" s="50" t="s">
        <v>321</v>
      </c>
      <c r="C15" s="50"/>
      <c r="D15" s="50"/>
      <c r="E15" s="50"/>
      <c r="F15" s="50"/>
    </row>
    <row r="16" spans="1:9" ht="30" customHeight="1" x14ac:dyDescent="0.3">
      <c r="B16" s="2" t="s">
        <v>93</v>
      </c>
      <c r="C16" s="2" t="s">
        <v>2</v>
      </c>
      <c r="D16" s="2" t="s">
        <v>312</v>
      </c>
      <c r="E16" s="2" t="s">
        <v>322</v>
      </c>
      <c r="F16" s="2" t="s">
        <v>323</v>
      </c>
      <c r="G16" s="50" t="s">
        <v>324</v>
      </c>
      <c r="H16" s="50"/>
      <c r="I16" s="50"/>
    </row>
    <row r="17" spans="2:9" ht="26.4" x14ac:dyDescent="0.3">
      <c r="B17" s="3" t="s">
        <v>121</v>
      </c>
      <c r="C17" s="5">
        <v>41</v>
      </c>
      <c r="D17" s="4">
        <v>29.4</v>
      </c>
      <c r="E17" s="5">
        <v>5</v>
      </c>
      <c r="F17" s="6">
        <v>12.2</v>
      </c>
      <c r="G17" s="2" t="s">
        <v>325</v>
      </c>
      <c r="H17" s="2" t="s">
        <v>2</v>
      </c>
      <c r="I17" s="2" t="s">
        <v>318</v>
      </c>
    </row>
    <row r="18" spans="2:9" x14ac:dyDescent="0.3">
      <c r="B18" s="7" t="s">
        <v>120</v>
      </c>
      <c r="C18" s="9">
        <v>67</v>
      </c>
      <c r="D18" s="8">
        <v>27.2</v>
      </c>
      <c r="E18" s="9">
        <v>3</v>
      </c>
      <c r="F18" s="10">
        <v>4.5</v>
      </c>
      <c r="G18" s="3" t="s">
        <v>326</v>
      </c>
      <c r="H18" s="5">
        <v>8602</v>
      </c>
      <c r="I18" s="6">
        <v>8.9</v>
      </c>
    </row>
    <row r="19" spans="2:9" x14ac:dyDescent="0.3">
      <c r="B19" s="3" t="s">
        <v>118</v>
      </c>
      <c r="C19" s="5">
        <v>145</v>
      </c>
      <c r="D19" s="4">
        <v>26.4</v>
      </c>
      <c r="E19" s="5">
        <v>6</v>
      </c>
      <c r="F19" s="6">
        <v>4.0999999999999996</v>
      </c>
      <c r="G19" s="7" t="s">
        <v>327</v>
      </c>
      <c r="H19" s="9">
        <v>25094</v>
      </c>
      <c r="I19" s="10">
        <v>26</v>
      </c>
    </row>
    <row r="20" spans="2:9" x14ac:dyDescent="0.3">
      <c r="B20" s="7" t="s">
        <v>114</v>
      </c>
      <c r="C20" s="9">
        <v>397</v>
      </c>
      <c r="D20" s="8">
        <v>24.5</v>
      </c>
      <c r="E20" s="9">
        <v>95</v>
      </c>
      <c r="F20" s="10">
        <v>23.9</v>
      </c>
      <c r="G20" s="3" t="s">
        <v>328</v>
      </c>
      <c r="H20" s="5">
        <v>36397</v>
      </c>
      <c r="I20" s="6">
        <v>37.700000000000003</v>
      </c>
    </row>
    <row r="21" spans="2:9" x14ac:dyDescent="0.3">
      <c r="B21" s="3" t="s">
        <v>107</v>
      </c>
      <c r="C21" s="5">
        <v>946</v>
      </c>
      <c r="D21" s="4">
        <v>23.8</v>
      </c>
      <c r="E21" s="5">
        <v>117</v>
      </c>
      <c r="F21" s="6">
        <v>12.4</v>
      </c>
      <c r="G21" s="7" t="s">
        <v>329</v>
      </c>
      <c r="H21" s="9">
        <v>15369</v>
      </c>
      <c r="I21" s="10">
        <v>15.9</v>
      </c>
    </row>
    <row r="22" spans="2:9" x14ac:dyDescent="0.3">
      <c r="B22" s="7" t="s">
        <v>109</v>
      </c>
      <c r="C22" s="9">
        <v>717</v>
      </c>
      <c r="D22" s="8">
        <v>21.6</v>
      </c>
      <c r="E22" s="9">
        <v>141</v>
      </c>
      <c r="F22" s="10">
        <v>19.7</v>
      </c>
      <c r="G22" s="3" t="s">
        <v>330</v>
      </c>
      <c r="H22" s="5">
        <v>6891</v>
      </c>
      <c r="I22" s="6">
        <v>7.1</v>
      </c>
    </row>
    <row r="23" spans="2:9" x14ac:dyDescent="0.3">
      <c r="B23" s="3" t="s">
        <v>115</v>
      </c>
      <c r="C23" s="5">
        <v>335</v>
      </c>
      <c r="D23" s="4">
        <v>21.5</v>
      </c>
      <c r="E23" s="5">
        <v>51</v>
      </c>
      <c r="F23" s="6">
        <v>15.2</v>
      </c>
      <c r="G23" s="7" t="s">
        <v>331</v>
      </c>
      <c r="H23" s="9">
        <v>4117</v>
      </c>
      <c r="I23" s="10">
        <v>4.3</v>
      </c>
    </row>
    <row r="24" spans="2:9" ht="16.8" x14ac:dyDescent="0.3">
      <c r="B24" s="7" t="s">
        <v>106</v>
      </c>
      <c r="C24" s="9">
        <v>1279</v>
      </c>
      <c r="D24" s="8">
        <v>21.3</v>
      </c>
      <c r="E24" s="9">
        <v>196</v>
      </c>
      <c r="F24" s="10">
        <v>15.3</v>
      </c>
      <c r="G24" s="50" t="s">
        <v>332</v>
      </c>
      <c r="H24" s="50"/>
      <c r="I24" s="50"/>
    </row>
    <row r="25" spans="2:9" ht="26.4" x14ac:dyDescent="0.3">
      <c r="B25" s="3" t="s">
        <v>119</v>
      </c>
      <c r="C25" s="5">
        <v>80</v>
      </c>
      <c r="D25" s="4">
        <v>21</v>
      </c>
      <c r="E25" s="5">
        <v>3</v>
      </c>
      <c r="F25" s="6">
        <v>3.8</v>
      </c>
      <c r="G25" s="2" t="s">
        <v>333</v>
      </c>
      <c r="H25" s="2" t="s">
        <v>2</v>
      </c>
      <c r="I25" s="2" t="s">
        <v>307</v>
      </c>
    </row>
    <row r="26" spans="2:9" x14ac:dyDescent="0.3">
      <c r="B26" s="7" t="s">
        <v>110</v>
      </c>
      <c r="C26" s="9">
        <v>517</v>
      </c>
      <c r="D26" s="8">
        <v>20.399999999999999</v>
      </c>
      <c r="E26" s="9">
        <v>57</v>
      </c>
      <c r="F26" s="10">
        <v>11</v>
      </c>
      <c r="G26" s="3" t="s">
        <v>334</v>
      </c>
      <c r="H26" s="5">
        <v>33683</v>
      </c>
      <c r="I26" s="19">
        <v>4.41</v>
      </c>
    </row>
    <row r="27" spans="2:9" x14ac:dyDescent="0.3">
      <c r="B27" s="3" t="s">
        <v>112</v>
      </c>
      <c r="C27" s="5">
        <v>476</v>
      </c>
      <c r="D27" s="4">
        <v>19.5</v>
      </c>
      <c r="E27" s="5">
        <v>76</v>
      </c>
      <c r="F27" s="6">
        <v>16</v>
      </c>
      <c r="G27" s="7" t="s">
        <v>335</v>
      </c>
      <c r="H27" s="9">
        <v>36395</v>
      </c>
      <c r="I27" s="20">
        <v>4.29</v>
      </c>
    </row>
    <row r="28" spans="2:9" x14ac:dyDescent="0.3">
      <c r="B28" s="7" t="s">
        <v>117</v>
      </c>
      <c r="C28" s="9">
        <v>243</v>
      </c>
      <c r="D28" s="8">
        <v>19.399999999999999</v>
      </c>
      <c r="E28" s="9">
        <v>7</v>
      </c>
      <c r="F28" s="10">
        <v>2.9</v>
      </c>
      <c r="G28" s="3" t="s">
        <v>336</v>
      </c>
      <c r="H28" s="5">
        <v>15381</v>
      </c>
      <c r="I28" s="19">
        <v>4.0999999999999996</v>
      </c>
    </row>
    <row r="29" spans="2:9" x14ac:dyDescent="0.3">
      <c r="B29" s="3" t="s">
        <v>113</v>
      </c>
      <c r="C29" s="5">
        <v>474</v>
      </c>
      <c r="D29" s="4">
        <v>19.3</v>
      </c>
      <c r="E29" s="5">
        <v>51</v>
      </c>
      <c r="F29" s="6">
        <v>10.8</v>
      </c>
      <c r="G29" s="7" t="s">
        <v>337</v>
      </c>
      <c r="H29" s="9">
        <v>10894</v>
      </c>
      <c r="I29" s="20">
        <v>3.01</v>
      </c>
    </row>
    <row r="30" spans="2:9" ht="16.8" x14ac:dyDescent="0.3">
      <c r="B30" s="7" t="s">
        <v>101</v>
      </c>
      <c r="C30" s="9">
        <v>3256</v>
      </c>
      <c r="D30" s="8">
        <v>19.3</v>
      </c>
      <c r="E30" s="9">
        <v>457</v>
      </c>
      <c r="F30" s="10">
        <v>14</v>
      </c>
      <c r="G30" s="50" t="s">
        <v>338</v>
      </c>
      <c r="H30" s="50"/>
      <c r="I30" s="50"/>
    </row>
    <row r="31" spans="2:9" ht="52.8" x14ac:dyDescent="0.3">
      <c r="B31" s="3" t="s">
        <v>105</v>
      </c>
      <c r="C31" s="5">
        <v>1593</v>
      </c>
      <c r="D31" s="4">
        <v>18.399999999999999</v>
      </c>
      <c r="E31" s="5">
        <v>172</v>
      </c>
      <c r="F31" s="6">
        <v>10.8</v>
      </c>
      <c r="G31" s="2" t="s">
        <v>339</v>
      </c>
      <c r="H31" s="2" t="s">
        <v>340</v>
      </c>
      <c r="I31" s="2" t="s">
        <v>341</v>
      </c>
    </row>
    <row r="32" spans="2:9" x14ac:dyDescent="0.3">
      <c r="B32" s="7" t="s">
        <v>108</v>
      </c>
      <c r="C32" s="9">
        <v>886</v>
      </c>
      <c r="D32" s="8">
        <v>18.100000000000001</v>
      </c>
      <c r="E32" s="9">
        <v>60</v>
      </c>
      <c r="F32" s="10">
        <v>6.8</v>
      </c>
      <c r="G32" s="3">
        <v>0.4</v>
      </c>
      <c r="H32" s="4">
        <v>2.8</v>
      </c>
      <c r="I32" s="4">
        <v>9.3000000000000007</v>
      </c>
    </row>
    <row r="33" spans="2:6" x14ac:dyDescent="0.3">
      <c r="B33" s="3" t="s">
        <v>116</v>
      </c>
      <c r="C33" s="5">
        <v>274</v>
      </c>
      <c r="D33" s="4">
        <v>17.7</v>
      </c>
      <c r="E33" s="5">
        <v>35</v>
      </c>
      <c r="F33" s="6">
        <v>12.8</v>
      </c>
    </row>
    <row r="34" spans="2:6" x14ac:dyDescent="0.3">
      <c r="B34" s="7" t="s">
        <v>104</v>
      </c>
      <c r="C34" s="9">
        <v>1995</v>
      </c>
      <c r="D34" s="8">
        <v>15.8</v>
      </c>
      <c r="E34" s="9">
        <v>244</v>
      </c>
      <c r="F34" s="10">
        <v>12.2</v>
      </c>
    </row>
    <row r="35" spans="2:6" x14ac:dyDescent="0.3">
      <c r="B35" s="3" t="s">
        <v>111</v>
      </c>
      <c r="C35" s="5">
        <v>701</v>
      </c>
      <c r="D35" s="4">
        <v>15.6</v>
      </c>
      <c r="E35" s="5">
        <v>81</v>
      </c>
      <c r="F35" s="6">
        <v>11.6</v>
      </c>
    </row>
    <row r="36" spans="2:6" x14ac:dyDescent="0.3">
      <c r="B36" s="7" t="s">
        <v>103</v>
      </c>
      <c r="C36" s="9">
        <v>1957</v>
      </c>
      <c r="D36" s="8">
        <v>15.6</v>
      </c>
      <c r="E36" s="9">
        <v>160</v>
      </c>
      <c r="F36" s="10">
        <v>8.1999999999999993</v>
      </c>
    </row>
    <row r="37" spans="2:6" x14ac:dyDescent="0.3">
      <c r="B37" s="3" t="s">
        <v>98</v>
      </c>
      <c r="C37" s="5">
        <v>5344</v>
      </c>
      <c r="D37" s="4">
        <v>15.3</v>
      </c>
      <c r="E37" s="5">
        <v>382</v>
      </c>
      <c r="F37" s="6">
        <v>7.1</v>
      </c>
    </row>
    <row r="38" spans="2:6" x14ac:dyDescent="0.3">
      <c r="B38" s="7" t="s">
        <v>96</v>
      </c>
      <c r="C38" s="9">
        <v>12350</v>
      </c>
      <c r="D38" s="8">
        <v>15.3</v>
      </c>
      <c r="E38" s="9">
        <v>1664</v>
      </c>
      <c r="F38" s="10">
        <v>13.5</v>
      </c>
    </row>
    <row r="39" spans="2:6" x14ac:dyDescent="0.3">
      <c r="B39" s="3" t="s">
        <v>100</v>
      </c>
      <c r="C39" s="5">
        <v>3546</v>
      </c>
      <c r="D39" s="4">
        <v>15</v>
      </c>
      <c r="E39" s="5">
        <v>346</v>
      </c>
      <c r="F39" s="6">
        <v>9.8000000000000007</v>
      </c>
    </row>
    <row r="40" spans="2:6" x14ac:dyDescent="0.3">
      <c r="B40" s="7" t="s">
        <v>102</v>
      </c>
      <c r="C40" s="9">
        <v>2080</v>
      </c>
      <c r="D40" s="8">
        <v>13</v>
      </c>
      <c r="E40" s="9">
        <v>147</v>
      </c>
      <c r="F40" s="10">
        <v>7.1</v>
      </c>
    </row>
    <row r="41" spans="2:6" x14ac:dyDescent="0.3">
      <c r="B41" s="3" t="s">
        <v>99</v>
      </c>
      <c r="C41" s="5">
        <v>4923</v>
      </c>
      <c r="D41" s="4">
        <v>12</v>
      </c>
      <c r="E41" s="5">
        <v>246</v>
      </c>
      <c r="F41" s="6">
        <v>5</v>
      </c>
    </row>
    <row r="42" spans="2:6" x14ac:dyDescent="0.3">
      <c r="B42" s="7" t="s">
        <v>97</v>
      </c>
      <c r="C42" s="9">
        <v>11354</v>
      </c>
      <c r="D42" s="8">
        <v>12</v>
      </c>
      <c r="E42" s="9">
        <v>637</v>
      </c>
      <c r="F42" s="10">
        <v>5.6</v>
      </c>
    </row>
    <row r="43" spans="2:6" x14ac:dyDescent="0.3">
      <c r="B43" s="3" t="s">
        <v>95</v>
      </c>
      <c r="C43" s="5">
        <v>40494</v>
      </c>
      <c r="D43" s="4">
        <v>8.8000000000000007</v>
      </c>
      <c r="E43" s="5">
        <v>2387</v>
      </c>
      <c r="F43" s="6">
        <v>5.9</v>
      </c>
    </row>
    <row r="46" spans="2:6" ht="19.5" customHeight="1" x14ac:dyDescent="0.3"/>
    <row r="47" spans="2:6" ht="30" customHeight="1" x14ac:dyDescent="0.3"/>
    <row r="56" ht="19.5" customHeight="1" x14ac:dyDescent="0.3"/>
    <row r="57" ht="30" customHeight="1" x14ac:dyDescent="0.3"/>
    <row r="64" ht="19.5" customHeight="1" x14ac:dyDescent="0.3"/>
    <row r="65" ht="30" customHeight="1" x14ac:dyDescent="0.3"/>
  </sheetData>
  <mergeCells count="8">
    <mergeCell ref="G16:I16"/>
    <mergeCell ref="G24:I24"/>
    <mergeCell ref="G30:I30"/>
    <mergeCell ref="A1:H1"/>
    <mergeCell ref="A2:H2"/>
    <mergeCell ref="B9:D9"/>
    <mergeCell ref="B15:F15"/>
    <mergeCell ref="B4:F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Dashboard</vt:lpstr>
      <vt:lpstr>Data_Quality</vt:lpstr>
      <vt:lpstr>KPI_Trends</vt:lpstr>
      <vt:lpstr>Regional_Performance</vt:lpstr>
      <vt:lpstr>RFM_Analysis</vt:lpstr>
      <vt:lpstr>Category_Performance</vt:lpstr>
      <vt:lpstr>Delivery_Analysis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Эллада смаилова</cp:lastModifiedBy>
  <cp:revision>1</cp:revision>
  <dcterms:created xsi:type="dcterms:W3CDTF">2026-07-04T08:29:38Z</dcterms:created>
  <dcterms:modified xsi:type="dcterms:W3CDTF">2026-08-14T16:02:52Z</dcterms:modified>
  <dc:language>en-US</dc:language>
</cp:coreProperties>
</file>